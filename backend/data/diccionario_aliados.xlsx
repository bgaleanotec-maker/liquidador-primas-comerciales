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6c710ac566da7f/proyecto_primas/"/>
    </mc:Choice>
  </mc:AlternateContent>
  <xr:revisionPtr revIDLastSave="125" documentId="8_{9AD220E6-4483-4CA6-833B-AE46FA4A94CB}" xr6:coauthVersionLast="47" xr6:coauthVersionMax="47" xr10:uidLastSave="{179357D0-05C9-4D1F-ACC3-0CBE9D87B490}"/>
  <bookViews>
    <workbookView xWindow="28680" yWindow="-120" windowWidth="51840" windowHeight="21120" xr2:uid="{9D1D9472-CD06-4FF6-A26D-819D81530FCD}"/>
  </bookViews>
  <sheets>
    <sheet name="Base" sheetId="1" r:id="rId1"/>
    <sheet name="Hoja1" sheetId="3" r:id="rId2"/>
    <sheet name="Parametros" sheetId="2" r:id="rId3"/>
  </sheets>
  <externalReferences>
    <externalReference r:id="rId4"/>
  </externalReferences>
  <definedNames>
    <definedName name="_xlnm._FilterDatabase" localSheetId="0" hidden="1">Base!$A$2:$K$685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5" i="1" l="1"/>
  <c r="J685" i="1" s="1"/>
  <c r="I684" i="1"/>
  <c r="J684" i="1" s="1"/>
  <c r="I683" i="1"/>
  <c r="J683" i="1" s="1"/>
  <c r="I682" i="1"/>
  <c r="J682" i="1" s="1"/>
  <c r="I681" i="1" l="1"/>
  <c r="J681" i="1" s="1"/>
  <c r="I680" i="1"/>
  <c r="J680" i="1" s="1"/>
  <c r="I679" i="1"/>
  <c r="J679" i="1" s="1"/>
  <c r="I678" i="1"/>
  <c r="J678" i="1" s="1"/>
  <c r="I677" i="1"/>
  <c r="J677" i="1" s="1"/>
  <c r="I676" i="1"/>
  <c r="J676" i="1" s="1"/>
  <c r="I675" i="1" l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J652" i="1" s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J620" i="1" s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J577" i="1" s="1"/>
  <c r="I576" i="1"/>
  <c r="J576" i="1" s="1"/>
  <c r="I575" i="1"/>
  <c r="J575" i="1" s="1"/>
  <c r="I574" i="1"/>
  <c r="J574" i="1" s="1"/>
  <c r="I573" i="1"/>
  <c r="J573" i="1" s="1"/>
  <c r="I572" i="1"/>
  <c r="J572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J562" i="1" s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J536" i="1" s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J505" i="1" s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J478" i="1" s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J452" i="1" s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J422" i="1" s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J376" i="1" s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J353" i="1" s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J327" i="1" s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J304" i="1" s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J281" i="1" s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J259" i="1" s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<sst xmlns="http://schemas.openxmlformats.org/spreadsheetml/2006/main" count="4859" uniqueCount="954">
  <si>
    <t>Tipo_aliado</t>
  </si>
  <si>
    <t>NOMBRE_FIRMA</t>
  </si>
  <si>
    <t>sociedad</t>
  </si>
  <si>
    <t>Responsable oficina central</t>
  </si>
  <si>
    <t>Responsable Filial</t>
  </si>
  <si>
    <t>Concesionarios</t>
  </si>
  <si>
    <t>VANTI</t>
  </si>
  <si>
    <t>Maribel Sanchez</t>
  </si>
  <si>
    <t>Aliados Genericos</t>
  </si>
  <si>
    <t>ALDIA SAS</t>
  </si>
  <si>
    <t>GOR</t>
  </si>
  <si>
    <t>Alfagres S.A. - En Reorganización</t>
  </si>
  <si>
    <t>GNCB</t>
  </si>
  <si>
    <t>German Roa</t>
  </si>
  <si>
    <t>ALMACENES CORONA S.A.S</t>
  </si>
  <si>
    <t>Mariale Zirene</t>
  </si>
  <si>
    <t>Sandra Cano</t>
  </si>
  <si>
    <t>GNC</t>
  </si>
  <si>
    <t>Retail</t>
  </si>
  <si>
    <t>ALMACENES EXITO S A</t>
  </si>
  <si>
    <t>Pilar Perez</t>
  </si>
  <si>
    <t>ALONDRA MUEBLES Y COLCHONES S.A.S</t>
  </si>
  <si>
    <t>Juan Posada</t>
  </si>
  <si>
    <t>Altycombpo SAS</t>
  </si>
  <si>
    <t>AMBIENTES CERAMICOS LTDA</t>
  </si>
  <si>
    <t>BANAMOTOS S.AS</t>
  </si>
  <si>
    <t>BIKE HOUSE S.A.S</t>
  </si>
  <si>
    <t>Cajeto S.A.S.</t>
  </si>
  <si>
    <t>Carrera Motos S.A.S.</t>
  </si>
  <si>
    <t>Casa Spettacolare S.A.S</t>
  </si>
  <si>
    <t>COL HOGAR 1 S A S</t>
  </si>
  <si>
    <t>COLCAJICA MERCANTIL SAS</t>
  </si>
  <si>
    <t>COLCHONES CARIFON S.A.S</t>
  </si>
  <si>
    <t>COLOMBIANA DE COMERCIO</t>
  </si>
  <si>
    <t>COMERCIALIZADOR SYG TECH S.A.S.</t>
  </si>
  <si>
    <t>Comercializadora de Motos Isaka S.A.S.</t>
  </si>
  <si>
    <t>Multicategoria</t>
  </si>
  <si>
    <t>Comercializadora Elecktroas</t>
  </si>
  <si>
    <t>COMPAÑÍA COLOMBIANA DE CERAMICA SAS</t>
  </si>
  <si>
    <t>COMPAÑIA DE MARKETING Y SERVICIOS S.A.S</t>
  </si>
  <si>
    <t>COMPAÑÍA DE SERVICIOS ARENAS ROJAS SAS</t>
  </si>
  <si>
    <t>COMPULAGO SAS</t>
  </si>
  <si>
    <t>CREDIMOTOS DEL CESAR SAS</t>
  </si>
  <si>
    <t>Decorados y Acabados Ceramicos S.A.S.</t>
  </si>
  <si>
    <t>Digimotos de Colombia S.A.S.</t>
  </si>
  <si>
    <t>Discercol Group S.A.S.</t>
  </si>
  <si>
    <t>DISTRIBUCIONES COLOMBIA SAS</t>
  </si>
  <si>
    <t>DISTRIBUCIONES EDSOVA S.A.S.</t>
  </si>
  <si>
    <t>DISTRIBUIDORA RAYCO SAS</t>
  </si>
  <si>
    <t>DISTRIMOTOS DE COLOMBIA S.A.S</t>
  </si>
  <si>
    <t>DISTRITODO VS S.A.S</t>
  </si>
  <si>
    <t>DIVERXA S.A.S</t>
  </si>
  <si>
    <t>ECOMOTORES INTERNACIONAL S.A.S</t>
  </si>
  <si>
    <t>EDWAR TOVAR SANCHEZ</t>
  </si>
  <si>
    <t>EL PINTOR PS DISTRIBUCIONES S.A.S</t>
  </si>
  <si>
    <t>ELECTRO AO S.A.S</t>
  </si>
  <si>
    <t>EVOLUTION FITNESS CORPORATION S.A.S</t>
  </si>
  <si>
    <t>FERRICENTROS SAS</t>
  </si>
  <si>
    <t>GBC Accesorios S.A.S</t>
  </si>
  <si>
    <t xml:space="preserve">GLOBAL DANACOR S.A.S </t>
  </si>
  <si>
    <t>GNP GRUPO NACIONAL DE PROYECTOS S A S</t>
  </si>
  <si>
    <t>GOMENAL S.A.S</t>
  </si>
  <si>
    <t>GRUPO KASAMIA S A S</t>
  </si>
  <si>
    <t>GRUPO MANSION S.A.S.</t>
  </si>
  <si>
    <t>GRUPO MERPES S.A.S</t>
  </si>
  <si>
    <t>Grupo Supermotos S.A.S.</t>
  </si>
  <si>
    <t>Hannas Motos S.A.S.</t>
  </si>
  <si>
    <t>HENRY ALEXANDER MARTINEZ HERNANDEZ - HENRYMOTOS2</t>
  </si>
  <si>
    <t>INDUSTRIAS SPRING SAS</t>
  </si>
  <si>
    <t>INVERSIONES HDPO SAS</t>
  </si>
  <si>
    <t>INVERSIONES VILLARAIRAN SAS</t>
  </si>
  <si>
    <t>INVESAKK SAS</t>
  </si>
  <si>
    <t>Ivan Botero Gomez S.A.</t>
  </si>
  <si>
    <t>JHONATHAN FABIAN CASTRO OLMOS</t>
  </si>
  <si>
    <t>LUIS NAPOLEON CALDERON MENDOZA</t>
  </si>
  <si>
    <t>M&amp;F SUPER GAS SAS</t>
  </si>
  <si>
    <t>MAS QUE MOTOS SAS</t>
  </si>
  <si>
    <t>MATERIALES EMO SAS</t>
  </si>
  <si>
    <t>MAXICASSA SAS</t>
  </si>
  <si>
    <t>MAXIMUEBLES JC SAS</t>
  </si>
  <si>
    <t>METRO CYCLES S.A.S.</t>
  </si>
  <si>
    <t>MOTO CUBICO S.A.S</t>
  </si>
  <si>
    <t>Moto Xtreme Hero S.A.S.</t>
  </si>
  <si>
    <t>Motorcycle Markets S.A.S.</t>
  </si>
  <si>
    <t>Motored de Colombia S.A.S.</t>
  </si>
  <si>
    <t>MOTOS DEL SUR BOGOTA SAS</t>
  </si>
  <si>
    <t>MOTOS GAP SAS</t>
  </si>
  <si>
    <t>Motos Naked S.A.S.</t>
  </si>
  <si>
    <t>Motoselva Motocicletas S.A.S.</t>
  </si>
  <si>
    <t>MOTOZONA SAS</t>
  </si>
  <si>
    <t>MUEBLES JAMAR S. A.</t>
  </si>
  <si>
    <t>Multintegral SAS</t>
  </si>
  <si>
    <t>NEGOCIOS E INVERSIONES SINGS S.A.S</t>
  </si>
  <si>
    <t>PEGO &amp; ASOCIADOS S A S</t>
  </si>
  <si>
    <t>PISOS Y ENCHAPES RYL SAS</t>
  </si>
  <si>
    <t>Planeta Motos S.A.S.</t>
  </si>
  <si>
    <t>PROYECTO E INVERSIONES GIRONA SAS</t>
  </si>
  <si>
    <t>PULL UP S.A.S</t>
  </si>
  <si>
    <t>PUNTO CENTER S.A.S</t>
  </si>
  <si>
    <t>Que Moto S.A.S.</t>
  </si>
  <si>
    <t>R&amp;R MOTOS</t>
  </si>
  <si>
    <t>Ruiz Yerena Jaime Enrique</t>
  </si>
  <si>
    <t>SOELCO SAS</t>
  </si>
  <si>
    <t>SUEÑOS Y CONFORT S.A.S</t>
  </si>
  <si>
    <t>Toma Tu Moto S.A.S.</t>
  </si>
  <si>
    <t>TU MEJOR OFERTA SAS</t>
  </si>
  <si>
    <t>Ultracem S.A.S.</t>
  </si>
  <si>
    <t>VICTOR MOTOS SAS</t>
  </si>
  <si>
    <t>Masda S.A.S.</t>
  </si>
  <si>
    <t>Innovation Motos NG S.A.S.</t>
  </si>
  <si>
    <t>Credimovil de Colombia S.A.S.</t>
  </si>
  <si>
    <t>CARRAZOS S.A.S.</t>
  </si>
  <si>
    <t>DISTRIFER S.A.S.</t>
  </si>
  <si>
    <t>CHINCHILLA SANTIAGO MILDRED</t>
  </si>
  <si>
    <t>FUN SPOT S.A.S</t>
  </si>
  <si>
    <t>Motos Cundinamarca S.A.S.</t>
  </si>
  <si>
    <t>Lobi Car S.A.S.</t>
  </si>
  <si>
    <t>MASERVINOX SAS MANTENIMIENTO SERVICIOS INOXIDABLE</t>
  </si>
  <si>
    <t>MAT MOTOS DISTRIBUIDOR HERO SAS</t>
  </si>
  <si>
    <t xml:space="preserve">DINA ELAYNE ARIAS CHACÓN </t>
  </si>
  <si>
    <t>Yamarinos Kasamotos S.A.S.</t>
  </si>
  <si>
    <t>MOTOS DE LA BOYACA SAS</t>
  </si>
  <si>
    <t>Credimotos de Colombia S.A.S.</t>
  </si>
  <si>
    <t>Distribuidora de Motores y Movilidad Dimovil S.A.S.</t>
  </si>
  <si>
    <t>Turbo Partes Diesel S.A.S.</t>
  </si>
  <si>
    <t>INVERSIONES ARENAS SERRANO S.A.S.</t>
  </si>
  <si>
    <t>Mercamotos Santander SAS</t>
  </si>
  <si>
    <t>SHAHARIT S A S</t>
  </si>
  <si>
    <t>Motonipon S.A.S.</t>
  </si>
  <si>
    <t>Brauhof S.A.S.</t>
  </si>
  <si>
    <t>NELSON HEREDIA VARGAS</t>
  </si>
  <si>
    <t>Simotos S.A.S.</t>
  </si>
  <si>
    <t>ASYCO SAS</t>
  </si>
  <si>
    <t>Mundo de La Movilidad S.A.S.</t>
  </si>
  <si>
    <t>Moto Market Group S.A.S.</t>
  </si>
  <si>
    <t>Moto News S.A.S.</t>
  </si>
  <si>
    <t>ALMACENES FLAMINGO S.A</t>
  </si>
  <si>
    <t>Moto Auto Store S.A.S.</t>
  </si>
  <si>
    <t>Sport Motos Company S.A.S.</t>
  </si>
  <si>
    <t xml:space="preserve">INVERSIONES LOGUZ SAS </t>
  </si>
  <si>
    <t>Electric World S.A.S.</t>
  </si>
  <si>
    <t>Ricardo Ortiz Ramírez</t>
  </si>
  <si>
    <t>IMPORTACIONES NISUTA S.A.S</t>
  </si>
  <si>
    <t>Compañía Nacional de Motocicletas S.A.S.</t>
  </si>
  <si>
    <t>Motos y Motos</t>
  </si>
  <si>
    <t>Velmotor S.A.S.</t>
  </si>
  <si>
    <t>Inversiones Bejarano del Valle S.A.S.</t>
  </si>
  <si>
    <t>ALMACEN MOTOCAMPO S.A.</t>
  </si>
  <si>
    <t>Motos Macrostore S.A.S.</t>
  </si>
  <si>
    <t>GELVER ANTONIO ORTEGA SANCHEZ</t>
  </si>
  <si>
    <t>Macro Motos Golden S.A.S.</t>
  </si>
  <si>
    <t>TENICENTROS ER SAS</t>
  </si>
  <si>
    <t>Movilidad Electrica Canaan S.A.S.</t>
  </si>
  <si>
    <t>Mundo Cross Bogotá S.A.S.</t>
  </si>
  <si>
    <t>Motos del Tropico S.A.S.</t>
  </si>
  <si>
    <t>Supercross Ltda</t>
  </si>
  <si>
    <t>CASA BAJAJ MYM S.A.S.</t>
  </si>
  <si>
    <t>COMERCIAL MEYER CESAR S.A.S ZOMAC</t>
  </si>
  <si>
    <t>Moto Services S.A.S.</t>
  </si>
  <si>
    <t>Motorcycle Land S.A.S.</t>
  </si>
  <si>
    <t>SU MOTO DEL MAGDALENA S.A.S</t>
  </si>
  <si>
    <t>Grupo UMA S.A.S.</t>
  </si>
  <si>
    <t>ZAGAMOTOS DEL PACIFICO S.A.S</t>
  </si>
  <si>
    <t>Gomez y Cia S.A.S.</t>
  </si>
  <si>
    <t>CAMACHO SUAREZ NELSON DAMIAN</t>
  </si>
  <si>
    <t>SERVIAUTECH ORIENTE S.A.S.</t>
  </si>
  <si>
    <t>Districolmotos S.A.S</t>
  </si>
  <si>
    <t>Maria Fernanda Lopez Ramirez</t>
  </si>
  <si>
    <t>TECH RED SAS</t>
  </si>
  <si>
    <t>FANTASIA ELECTRONICA S.A.S</t>
  </si>
  <si>
    <t>CENTRO MOTOS DE COLOMBIA S.A.S.</t>
  </si>
  <si>
    <t>AGRO HONDA LA S.A.S</t>
  </si>
  <si>
    <t>Biologica Vehiculos Electricos S.A.S.</t>
  </si>
  <si>
    <t>Holding Motor Group S.A.S.</t>
  </si>
  <si>
    <t>Cimaxcol S.A.S.</t>
  </si>
  <si>
    <t>Usadas Certificadas S.A.S.</t>
  </si>
  <si>
    <t>Casa Hero S.A.S.</t>
  </si>
  <si>
    <t>MOTOS ACOSTA S.A.S.</t>
  </si>
  <si>
    <t>Motos del Camino S.A.S.</t>
  </si>
  <si>
    <t>LUCCY MARINA RODRIGUEZ GARCIA</t>
  </si>
  <si>
    <t>CIRO ARÉVALO BARBOSA</t>
  </si>
  <si>
    <t>Higinio Camacho</t>
  </si>
  <si>
    <t>Zeta Mobiity S.A.S.</t>
  </si>
  <si>
    <t>SM SERVICIOS GAS NATURAL S.A.S.</t>
  </si>
  <si>
    <t>HERNANDEZ NARANJO DORA EDITH / DH INGENIERIA DE GAS</t>
  </si>
  <si>
    <t>SISTEMAS Y SERVICIOS GAS NATURAL S.A.S</t>
  </si>
  <si>
    <t>APROGAS EU</t>
  </si>
  <si>
    <t>INDUSTRIAS VIANCO LTDA</t>
  </si>
  <si>
    <t>SERVOBRAS LTDA</t>
  </si>
  <si>
    <t>ASEPROGAS SAS</t>
  </si>
  <si>
    <t>GAS PLANETS SAS</t>
  </si>
  <si>
    <t>AGUA Y GAS INGENIERIA SAS</t>
  </si>
  <si>
    <t>GAS VIVIENDA LTDA</t>
  </si>
  <si>
    <t>JULIGAS INGENIERIA SAS</t>
  </si>
  <si>
    <t>INGEOSERVICIOS ANDI SAS</t>
  </si>
  <si>
    <t>COOPERATIVA MULTIACTIVA ECO BOSCO</t>
  </si>
  <si>
    <t>INSTARGAS N L V S A S</t>
  </si>
  <si>
    <t>SG 3A GAS DE COLOMBIA SAS</t>
  </si>
  <si>
    <t>ALFAGAS SERVICIOS SAS</t>
  </si>
  <si>
    <t>EXPERTOS MANTENIMIENTOS Y REPARACIONES SAS</t>
  </si>
  <si>
    <t>GLOBAL GAS</t>
  </si>
  <si>
    <t>LLAMA GAS DE LA SABANA SAS</t>
  </si>
  <si>
    <t>TOQUE DE HOGAR SAS</t>
  </si>
  <si>
    <t>ARHUS INGENIEROS LTDA</t>
  </si>
  <si>
    <t>SYC SERTEG SAS</t>
  </si>
  <si>
    <t>SM ELECTRONISCS</t>
  </si>
  <si>
    <t>N Y M CONSTRUCCIONES</t>
  </si>
  <si>
    <t xml:space="preserve">ABASTECIMIENTO, ASESORIAS Y ACOMPAÑAMIENTO GAS NATURAL SAS / AAA GAS NATURAL SAS </t>
  </si>
  <si>
    <t>Firma Instaladora</t>
  </si>
  <si>
    <t>Activos DZ S.A.S.</t>
  </si>
  <si>
    <t>MOVIMOTOR S.A.S.</t>
  </si>
  <si>
    <t>SABANA MOTOS DE COLOMBIA S.A.S.</t>
  </si>
  <si>
    <t>BMR Group S.A.S.</t>
  </si>
  <si>
    <t>Movilidad en Línea S.A.S.</t>
  </si>
  <si>
    <t>GEORGES EL ACHKAR</t>
  </si>
  <si>
    <t>Ionic Motors S.A.S.</t>
  </si>
  <si>
    <t>Distribuidora Motocentro S.A.S</t>
  </si>
  <si>
    <t>CARCO - SEVE SOCIEDAD POR ACCIONES SIMPLIFICADA S.A.S.</t>
  </si>
  <si>
    <t>RODDOS S.A.S.</t>
  </si>
  <si>
    <t>ADIELA DE LOMBANA S.A</t>
  </si>
  <si>
    <t>MUNDO CROSS LTDA</t>
  </si>
  <si>
    <t>JORGE ARMANDO MATEUS MATEUS</t>
  </si>
  <si>
    <t>DISTRIBUIDORA REX S.A.S.</t>
  </si>
  <si>
    <t>Son Motos S.A.S.</t>
  </si>
  <si>
    <t>DISMERCA SAS</t>
  </si>
  <si>
    <t>CEMEX COLOMBIA S.A</t>
  </si>
  <si>
    <t xml:space="preserve">Iván David Cadena Burgos </t>
  </si>
  <si>
    <t>ALBEIRO CANO TORO</t>
  </si>
  <si>
    <t>MOTOGOLD SAS</t>
  </si>
  <si>
    <t>INVERSIONES GUTIERREZ HERNANDEZ</t>
  </si>
  <si>
    <t>Ana Maria Parra</t>
  </si>
  <si>
    <t>FRATELLI COLOMBIA SAS</t>
  </si>
  <si>
    <t>DYS CONSTRUCCIONES DE GAS SAS</t>
  </si>
  <si>
    <t>INDUSTRIAS HACEB S.A</t>
  </si>
  <si>
    <t>CHALLENGER S.A.</t>
  </si>
  <si>
    <t>CEILINGS AND FLOORS</t>
  </si>
  <si>
    <t>ROBERT BOSCH LTDA</t>
  </si>
  <si>
    <t>EUROPUNTO J.J. SAS</t>
  </si>
  <si>
    <t>FRIO KING IMPORTACIONES Y DISTRIBUCIONES S.A.S.</t>
  </si>
  <si>
    <t>FULL HOME BC S.A.S</t>
  </si>
  <si>
    <t>HOME STYLE EUROPA S.A.S</t>
  </si>
  <si>
    <t>CENTRO DE INSTALACIONES DE GAS NATURAL CIGAS</t>
  </si>
  <si>
    <t>DISTRICERAMICAS BLAPER S.A</t>
  </si>
  <si>
    <t>COLCHONES EL DORADO SA</t>
  </si>
  <si>
    <t>PINTURAS DURO COLOR</t>
  </si>
  <si>
    <t>ULTRAGAS VEHICULAR SAS</t>
  </si>
  <si>
    <t>MOTOS Y REPUESTOS LA PRINCIPAL S.A.S.</t>
  </si>
  <si>
    <t>INACSA S.A.S</t>
  </si>
  <si>
    <t>TALLER DE CONVERSION VEHICOLGAS SAS</t>
  </si>
  <si>
    <t>INVERSIONES MOTOFUTURO S.A.S</t>
  </si>
  <si>
    <t>ROMEGAS</t>
  </si>
  <si>
    <t>SODIMAC COLOMBIA SA</t>
  </si>
  <si>
    <t>Sylvia Rodriguez</t>
  </si>
  <si>
    <t>VIA MOTOS S.A.S</t>
  </si>
  <si>
    <t>Seller</t>
  </si>
  <si>
    <t>GNV</t>
  </si>
  <si>
    <t>INVERSIONES KASAMIA SAS</t>
  </si>
  <si>
    <t>CHAVES VARGAS GUILLERMO ALFONSO</t>
  </si>
  <si>
    <t>TECNICENTROS ER SAS</t>
  </si>
  <si>
    <t>RHEEM COLOMBIA S.A.S.</t>
  </si>
  <si>
    <t>CERAMICAS DE LA SABANA S.A.S</t>
  </si>
  <si>
    <t>MOTORACING DE COLOMBIA S.A.S.</t>
  </si>
  <si>
    <t>COLOMBIA GAS VEHICULAR LTDA</t>
  </si>
  <si>
    <t xml:space="preserve">Seguros Generales Suramericana S.A. </t>
  </si>
  <si>
    <t>VEHICULO A GAS LTDA</t>
  </si>
  <si>
    <t>GAS INYECCION LTDA</t>
  </si>
  <si>
    <t>ZAVOLI COLOMBIA SAS</t>
  </si>
  <si>
    <t>COLOMBIANA AUTOMOTRIZ LTDA</t>
  </si>
  <si>
    <t>LIDA FERNANDA CORTES TORO</t>
  </si>
  <si>
    <t>SERVIGAS GNV LTDA</t>
  </si>
  <si>
    <t>SAB INVERSIONES SAS</t>
  </si>
  <si>
    <t>TALLER AAA GAS SAS</t>
  </si>
  <si>
    <t>SERVIGAS QUIROGA GNV LTDA</t>
  </si>
  <si>
    <t>A GAS VEHICULAR GNV SAS</t>
  </si>
  <si>
    <t>BUCARGAS GNV SAS</t>
  </si>
  <si>
    <t>FUEL GAS SERVICE E.U.</t>
  </si>
  <si>
    <t>SURAGAS SAS</t>
  </si>
  <si>
    <t>GARCIA FUENTES CARLOS ANDRES</t>
  </si>
  <si>
    <t>AUTOGASCOL LTDA</t>
  </si>
  <si>
    <t>SERVIGAS  CARS SAS</t>
  </si>
  <si>
    <t>FERAGAS LTDA</t>
  </si>
  <si>
    <t>MOTOR GAS DE COLOMBIA</t>
  </si>
  <si>
    <t>INVERSIONES INNOVAR DE COLOMBIA SA</t>
  </si>
  <si>
    <t>CHACAM TRADING SAS</t>
  </si>
  <si>
    <t>Comfer SAS</t>
  </si>
  <si>
    <t>AR CAPITAL SAS</t>
  </si>
  <si>
    <t>CONTROL METROLOGICICO Y GAS SAS</t>
  </si>
  <si>
    <t>HL GAS SAS</t>
  </si>
  <si>
    <t>MOTORIENTE BUCARAMANGA LTDA.</t>
  </si>
  <si>
    <t>SERVIGAS CARS SAS</t>
  </si>
  <si>
    <t>Pablo Brieva</t>
  </si>
  <si>
    <t>Lina Rojas</t>
  </si>
  <si>
    <t>APS INGENIERIA DE GAS</t>
  </si>
  <si>
    <t>COONDOR MOBILITY S.A.S</t>
  </si>
  <si>
    <t>G. C. INGENIERIA HIDRAULICA Y GAS S.A.S.</t>
  </si>
  <si>
    <t>MERVICOL SAS</t>
  </si>
  <si>
    <t>Sergas Colombia SAS</t>
  </si>
  <si>
    <t>Mtto &amp; Reparaciones</t>
  </si>
  <si>
    <t>AC INGENIERIA E INTERVENTORIA DE GAS S.A.S</t>
  </si>
  <si>
    <t>Orlando Donado &amp; Compañía S.A.S.</t>
  </si>
  <si>
    <t xml:space="preserve">COOPERATIVA MULTIACTIVA DE LOS TRABAJADORES DE SANTANDER </t>
  </si>
  <si>
    <t>MOTOR UNO S.A.S.</t>
  </si>
  <si>
    <t>NECHI MOTOS S.A.S.</t>
  </si>
  <si>
    <t>PISOS Y ENCHAPES EUROCARIBE S.A.S.</t>
  </si>
  <si>
    <t>Daniel Tellez</t>
  </si>
  <si>
    <t>Jose Hernandez</t>
  </si>
  <si>
    <t>ANDERSON OSORIO PEREZ (MODUCOL)</t>
  </si>
  <si>
    <t>SUPER ELECTRO ORIENTE S.A.S.</t>
  </si>
  <si>
    <t>HMCL COLOMBIA S.A.S.</t>
  </si>
  <si>
    <t>AUTECO S.A.S.</t>
  </si>
  <si>
    <t>TODOMOTOS VS S.A.S.</t>
  </si>
  <si>
    <t>CERAMICA ITALIA S.A</t>
  </si>
  <si>
    <t>HOGAR VENECIA MUEBLES S.A.S.</t>
  </si>
  <si>
    <t>FERRETERIA LUIS PENAGOS S.A.S</t>
  </si>
  <si>
    <t>CHP MATERIALES PARA CONTRUCCION S.A.S.</t>
  </si>
  <si>
    <t>ELECTROFERIA DE LA CARRERA 13 SAS</t>
  </si>
  <si>
    <t>COLCHONES STOPPING S.A.S.</t>
  </si>
  <si>
    <t>GRUPO FERRETERO F.C. S.A.S.</t>
  </si>
  <si>
    <t>ALCA LTDA</t>
  </si>
  <si>
    <t>CENTRALMOTOS LEBRIJA S.A.S.</t>
  </si>
  <si>
    <t>COMERCIO &amp; MERCADEO JFR S.A.S</t>
  </si>
  <si>
    <t>HIPERMERCADO CENTRAL DE ELECTRODOMESTICOS S.A.S HICEL S.A.S</t>
  </si>
  <si>
    <t>DIGITALTECH S.A.S</t>
  </si>
  <si>
    <t>CONNECT ASSISTANCE S.A.S</t>
  </si>
  <si>
    <t>ALMACENES EXITO S A 2</t>
  </si>
  <si>
    <t>COMUNICACIONES M &amp; P SAS</t>
  </si>
  <si>
    <t>MOTOS PRISMA SAS</t>
  </si>
  <si>
    <t>FERRESERVICIOS JHUKEGAS/ SARA YINETH ORDOÑEZ PEÑUELA</t>
  </si>
  <si>
    <t>REVESTIMIENTO CERAMICO DE LA SABANA S.A.S.</t>
  </si>
  <si>
    <t>AGRONAUTICA MOTOS IMPORTADORES LTDA</t>
  </si>
  <si>
    <t>ELECTRODOMESTICOS MILLER S.A.S</t>
  </si>
  <si>
    <t>OLIMPICA S.A.</t>
  </si>
  <si>
    <t>SOCODA S.A.S.</t>
  </si>
  <si>
    <t>GRUPO VISUALIZZA S.A.S</t>
  </si>
  <si>
    <t>INVERSIONES VARGAS &amp; GAFARO S.A.S</t>
  </si>
  <si>
    <t>MATERIALES COLOMBIA SAS EN REORGANIZACIÓN</t>
  </si>
  <si>
    <t>Sebastian Chaparro</t>
  </si>
  <si>
    <t>MOTO PLANET SAS.</t>
  </si>
  <si>
    <t>DIAR MOTOS SAS ZOMAC</t>
  </si>
  <si>
    <t>MOTOMOVIL DE COLOMBIA S.A.S.</t>
  </si>
  <si>
    <t>4 EN MOVIMIENTO SAS</t>
  </si>
  <si>
    <t>CENCOSUD COLOMBIA S.A</t>
  </si>
  <si>
    <t>INVERSIONES CAMILO ROJAS SAS</t>
  </si>
  <si>
    <t>MAS MOTOS MAS REPUESTOS</t>
  </si>
  <si>
    <t>Carlos Vargas</t>
  </si>
  <si>
    <t>FERRE-TODO S.A.S</t>
  </si>
  <si>
    <t>llave</t>
  </si>
  <si>
    <t>KORATTI S.A.S.</t>
  </si>
  <si>
    <t>NOGO BOYACA LIMITADA</t>
  </si>
  <si>
    <t>DISTRIBUIDORA EL HUECO S.A.S</t>
  </si>
  <si>
    <t>DATOS</t>
  </si>
  <si>
    <t>HOMOLOGOS</t>
  </si>
  <si>
    <t>GASNACER S.A. E.S.P.</t>
  </si>
  <si>
    <t>GAS NATURAL CUNDIBOYACENSE S.A. E.S.P.</t>
  </si>
  <si>
    <t>GAS NATURAL DEL ORIENTE S.A. E.S.P.</t>
  </si>
  <si>
    <t>VANTI SA ESP</t>
  </si>
  <si>
    <t>VANTI S.A ESP</t>
  </si>
  <si>
    <t>GAS NATURAL CUNDIBOYACENSE</t>
  </si>
  <si>
    <t>GAS NATURAL DEL ORIENTE</t>
  </si>
  <si>
    <t>GAS NATURAL DEL CESAR</t>
  </si>
  <si>
    <t>Vanti S.A. E.S.P</t>
  </si>
  <si>
    <t>Gas Natural Cundiboyacens</t>
  </si>
  <si>
    <t>Gas Natural del Oriente S</t>
  </si>
  <si>
    <t>VANTI S.A. ESP</t>
  </si>
  <si>
    <t>GAS NATURAL CUNDIBOYACENSE S.A. ESP</t>
  </si>
  <si>
    <t>GAS NATURAL DEL ORIENTE S.A. ESP</t>
  </si>
  <si>
    <t>GAS NATURAL DEL CESAR S.A. ESP</t>
  </si>
  <si>
    <t>Gas Natural del Cesar S.A</t>
  </si>
  <si>
    <t>NIT</t>
  </si>
  <si>
    <t>BP VantiListo</t>
  </si>
  <si>
    <t>900.970.799-1</t>
  </si>
  <si>
    <t>MASMOTOSMASREPUESTOS</t>
  </si>
  <si>
    <t>4ENMOVIMIENTOSAS</t>
  </si>
  <si>
    <t>ABASTECIMIENTO,ASESORIASYACOMPAÑAMIENTOGASNATURALSAS/AAAGASNATURALSAS</t>
  </si>
  <si>
    <t>AGRONAUTICAMOTOSIMPORTADORESLTDA</t>
  </si>
  <si>
    <t>AGUAYGASINGENIERIASAS</t>
  </si>
  <si>
    <t>ALCALTDA</t>
  </si>
  <si>
    <t>ALFAGASSERVICIOSSAS</t>
  </si>
  <si>
    <t>ALMACENESEXITOSA</t>
  </si>
  <si>
    <t>ALMACENESEXITOSA2</t>
  </si>
  <si>
    <t>AltycombpoSAS</t>
  </si>
  <si>
    <t>AMBIENTESCERAMICOSLTDA</t>
  </si>
  <si>
    <t>AnaMariaParra</t>
  </si>
  <si>
    <t>ANDERSONOSORIOPEREZ(MODUCOL)</t>
  </si>
  <si>
    <t>APROGASEU</t>
  </si>
  <si>
    <t>APSINGENIERIADEGAS</t>
  </si>
  <si>
    <t>ARCAPITALSAS</t>
  </si>
  <si>
    <t>ARHUSINGENIEROSLTDA</t>
  </si>
  <si>
    <t>ASEPROGASSAS</t>
  </si>
  <si>
    <t>ASYCOSAS</t>
  </si>
  <si>
    <t>AUTOGASCOLLTDA</t>
  </si>
  <si>
    <t>CEILINGSANDFLOORS</t>
  </si>
  <si>
    <t>CENTRODEINSTALACIONESDEGASNATURALCIGAS</t>
  </si>
  <si>
    <t>CHACAMTRADINGSAS</t>
  </si>
  <si>
    <t>CHAVESVARGASGUILLERMOALFONSO</t>
  </si>
  <si>
    <t>CHINCHILLASANTIAGOMILDRED</t>
  </si>
  <si>
    <t>COLOMBIAGASVEHICULARLTDA</t>
  </si>
  <si>
    <t>COLOMBIANAAUTOMOTRIZLTDA</t>
  </si>
  <si>
    <t>COLOMBIANADECOMERCIO</t>
  </si>
  <si>
    <t>ComercializadoraElecktroas</t>
  </si>
  <si>
    <t>ComferSAS</t>
  </si>
  <si>
    <t>COMPAÑÍACOLOMBIANADECERAMICASAS</t>
  </si>
  <si>
    <t>COMPULAGOSAS</t>
  </si>
  <si>
    <t>COMUNICACIONESM&amp;PSAS</t>
  </si>
  <si>
    <t>COOPERATIVAMULTIACTIVADELOSTRABAJADORESDESANTANDER</t>
  </si>
  <si>
    <t>COOPERATIVAMULTIACTIVAECOBOSCO</t>
  </si>
  <si>
    <t>CREDIMOTOSDELCESARSAS</t>
  </si>
  <si>
    <t>DINAELAYNEARIASCHACÓN</t>
  </si>
  <si>
    <t>DISMERCASAS</t>
  </si>
  <si>
    <t>DISTRIBUIDORARAYCOSAS</t>
  </si>
  <si>
    <t>DYSCONSTRUCCIONESDEGASSAS</t>
  </si>
  <si>
    <t>ELECTROFERIADELACARRERA13SAS</t>
  </si>
  <si>
    <t>FERAGASLTDA</t>
  </si>
  <si>
    <t>FERRESERVICIOSJHUKEGAS/SARAYINETHORDOÑEZPEÑUELA</t>
  </si>
  <si>
    <t>FERRICENTROSSAS</t>
  </si>
  <si>
    <t>FRATELLICOLOMBIASAS</t>
  </si>
  <si>
    <t>GASINYECCIONLTDA</t>
  </si>
  <si>
    <t>GASPLANETSSAS</t>
  </si>
  <si>
    <t>GASVIVIENDALTDA</t>
  </si>
  <si>
    <t>GELVERANTONIOORTEGASANCHEZ</t>
  </si>
  <si>
    <t>GLOBALGAS</t>
  </si>
  <si>
    <t>GNPGRUPONACIONALDEPROYECTOSSAS</t>
  </si>
  <si>
    <t>GRUPOKASAMIASAS</t>
  </si>
  <si>
    <t>HENRYALEXANDERMARTINEZHERNANDEZ-HENRYMOTOS2</t>
  </si>
  <si>
    <t>HERNANDEZNARANJODORAEDITH/DHINGENIERIADEGAS</t>
  </si>
  <si>
    <t>HiginioCamacho</t>
  </si>
  <si>
    <t>INDUSTRIASSPRINGSAS</t>
  </si>
  <si>
    <t>INDUSTRIASVIANCOLTDA</t>
  </si>
  <si>
    <t>INGEOSERVICIOSANDISAS</t>
  </si>
  <si>
    <t>INSTARGASNLVSAS</t>
  </si>
  <si>
    <t>INVERSIONESCAMILOROJASSAS</t>
  </si>
  <si>
    <t>INVERSIONESGUTIERREZHERNANDEZ</t>
  </si>
  <si>
    <t>INVERSIONESHDPOSAS</t>
  </si>
  <si>
    <t>INVERSIONESINNOVARDECOLOMBIASA</t>
  </si>
  <si>
    <t>INVERSIONESLOGUZSAS</t>
  </si>
  <si>
    <t>INVERSIONESVILLARAIRANSAS</t>
  </si>
  <si>
    <t>INVESAKKSAS</t>
  </si>
  <si>
    <t>JHONATHANFABIANCASTROOLMOS</t>
  </si>
  <si>
    <t>JORGEARMANDOMATEUSMATEUS</t>
  </si>
  <si>
    <t>JULIGASINGENIERIASAS</t>
  </si>
  <si>
    <t>LIDAFERNANDACORTESTORO</t>
  </si>
  <si>
    <t>LLAMAGASDELASABANASAS</t>
  </si>
  <si>
    <t>LUCCYMARINARODRIGUEZGARCIA</t>
  </si>
  <si>
    <t>LUISNAPOLEONCALDERONMENDOZA</t>
  </si>
  <si>
    <t>M&amp;FSUPERGASSAS</t>
  </si>
  <si>
    <t>MariaFernandaLopezRamirez</t>
  </si>
  <si>
    <t>MASQUEMOTOSSAS</t>
  </si>
  <si>
    <t>MASERVINOXSASMANTENIMIENTOSERVICIOSINOXIDABLE</t>
  </si>
  <si>
    <t>MATMOTOSDISTRIBUIDORHEROSAS</t>
  </si>
  <si>
    <t>MATERIALESCOLOMBIASASENREORGANIZACIÓN</t>
  </si>
  <si>
    <t>MATERIALESEMOSAS</t>
  </si>
  <si>
    <t>MAXICASSASAS</t>
  </si>
  <si>
    <t>MAXIMUEBLESJCSAS</t>
  </si>
  <si>
    <t>MercamotosSantanderSAS</t>
  </si>
  <si>
    <t>MERVICOLSAS</t>
  </si>
  <si>
    <t>MOTORGASDECOLOMBIA</t>
  </si>
  <si>
    <t>MOTOSDELABOYACASAS</t>
  </si>
  <si>
    <t>MOTOSDELSURBOGOTASAS</t>
  </si>
  <si>
    <t>MOTOSPRISMASAS</t>
  </si>
  <si>
    <t>MotosyMotos</t>
  </si>
  <si>
    <t>MOTOZONASAS</t>
  </si>
  <si>
    <t>MultintegralSAS</t>
  </si>
  <si>
    <t>MUNDOCROSSLTDA</t>
  </si>
  <si>
    <t>NYMCONSTRUCCIONES</t>
  </si>
  <si>
    <t>PEGO&amp;ASOCIADOSSAS</t>
  </si>
  <si>
    <t>PINTURASDUROCOLOR</t>
  </si>
  <si>
    <t>PISOSYENCHAPESRYLSAS</t>
  </si>
  <si>
    <t>ROBERTBOSCHLTDA</t>
  </si>
  <si>
    <t>RuizYerenaJaimeEnrique</t>
  </si>
  <si>
    <t>SABINVERSIONESSAS</t>
  </si>
  <si>
    <t>SergasColombiaSAS</t>
  </si>
  <si>
    <t>SERVIGASGNVLTDA</t>
  </si>
  <si>
    <t>SERVIGASQUIROGAGNVLTDA</t>
  </si>
  <si>
    <t>SERVOBRASLTDA</t>
  </si>
  <si>
    <t>SG3AGASDECOLOMBIASAS</t>
  </si>
  <si>
    <t>SHAHARITSAS</t>
  </si>
  <si>
    <t>SMELECTRONISCS</t>
  </si>
  <si>
    <t>SODIMACCOLOMBIASA</t>
  </si>
  <si>
    <t>SOELCOSAS</t>
  </si>
  <si>
    <t>SURAGASSAS</t>
  </si>
  <si>
    <t>TALLERAAAGASSAS</t>
  </si>
  <si>
    <t>TALLERDECONVERSIONVEHICOLGASSAS</t>
  </si>
  <si>
    <t>TECHREDSAS</t>
  </si>
  <si>
    <t>TECNICENTROSERSAS</t>
  </si>
  <si>
    <t>TENICENTROSERSAS</t>
  </si>
  <si>
    <t>TOQUEDEHOGARSAS</t>
  </si>
  <si>
    <t>TUMEJOROFERTASAS</t>
  </si>
  <si>
    <t>ULTRAGASVEHICULARSAS</t>
  </si>
  <si>
    <t>VEHICULOAGASLTDA</t>
  </si>
  <si>
    <t>VICTORMOTOSSAS</t>
  </si>
  <si>
    <t>ZAVOLICOLOMBIASAS</t>
  </si>
  <si>
    <t>COMPAÑÍADESERVICIOSARENASROJASSAS</t>
  </si>
  <si>
    <t>ALBEIROCANOTORO</t>
  </si>
  <si>
    <t>CAMACHOSUAREZNELSONDAMIAN</t>
  </si>
  <si>
    <t>CIROARÉVALOBARBOSA</t>
  </si>
  <si>
    <t>COLHOGAR1SAS</t>
  </si>
  <si>
    <t>COLCAJICAMERCANTILSAS</t>
  </si>
  <si>
    <t>COLCHONESELDORADOSA</t>
  </si>
  <si>
    <t>EDWARTOVARSANCHEZ</t>
  </si>
  <si>
    <t>GEORGESELACHKAR</t>
  </si>
  <si>
    <t>INVERSIONESKASAMIASAS</t>
  </si>
  <si>
    <t>MOTOSGAPSAS</t>
  </si>
  <si>
    <t>PROYECTOEINVERSIONESGIRONASAS</t>
  </si>
  <si>
    <t>DIARMOTOSSASZOMAC</t>
  </si>
  <si>
    <t>AGASVEHICULARGNVSAS</t>
  </si>
  <si>
    <t>BUCARGASGNVSAS</t>
  </si>
  <si>
    <t>CONTROLMETROLOGICICOYGASSAS</t>
  </si>
  <si>
    <t>DISTRIBUCIONESCOLOMBIASAS</t>
  </si>
  <si>
    <t>EXPERTOSMANTENIMIENTOSYREPARACIONESSAS</t>
  </si>
  <si>
    <t>GARCIAFUENTESCARLOSANDRES</t>
  </si>
  <si>
    <t>HLGASSAS</t>
  </si>
  <si>
    <t>IvánDavidCadenaBurgos</t>
  </si>
  <si>
    <t>MOTOGOLDSAS</t>
  </si>
  <si>
    <t>R&amp;RMOTOS</t>
  </si>
  <si>
    <t>SERVIGASCARSSAS</t>
  </si>
  <si>
    <t>SupercrossLtda</t>
  </si>
  <si>
    <t>SYCSERTEGSAS</t>
  </si>
  <si>
    <t>ALDIASAS</t>
  </si>
  <si>
    <t>NELSONHEREDIAVARGAS</t>
  </si>
  <si>
    <t>RicardoOrtizRamírez</t>
  </si>
  <si>
    <t>NOGOBOYACALIMITADA</t>
  </si>
  <si>
    <t>ACINGENIERIAEINTERVENTORIADEGASSAS</t>
  </si>
  <si>
    <t>CEMEXCOLOMBIASA</t>
  </si>
  <si>
    <t>CERAMICAITALIASA</t>
  </si>
  <si>
    <t>CHALLENGERSA</t>
  </si>
  <si>
    <t>COMERCIO&amp;MERCADEOJFRSAS</t>
  </si>
  <si>
    <t>CONNECTASSISTANCESAS</t>
  </si>
  <si>
    <t>DIGITALTECHSAS</t>
  </si>
  <si>
    <t>DISTRIBUIDORAREXSAS</t>
  </si>
  <si>
    <t>DISTRIFERSAS</t>
  </si>
  <si>
    <t>FUELGASSERVICEEU</t>
  </si>
  <si>
    <t>FULLHOMEBCSAS</t>
  </si>
  <si>
    <t>GCINGENIERIAHIDRAULICAYGASSAS</t>
  </si>
  <si>
    <t>HOGARVENECIAMUEBLESSAS</t>
  </si>
  <si>
    <t>INDUSTRIASHACEBSA</t>
  </si>
  <si>
    <t>MOTORUNOSAS</t>
  </si>
  <si>
    <t>MOTORIENTEBUCARAMANGALTDA</t>
  </si>
  <si>
    <t>MOTOSYREPUESTOSLAPRINCIPALSAS</t>
  </si>
  <si>
    <t>NECHIMOTOSSAS</t>
  </si>
  <si>
    <t>OLIMPICASA</t>
  </si>
  <si>
    <t>OrlandoDonado&amp;CompañíaSAS</t>
  </si>
  <si>
    <t>RHEEMCOLOMBIASAS</t>
  </si>
  <si>
    <t>SegurosGeneralesSuramericanaSA</t>
  </si>
  <si>
    <t>SISTEMASYSERVICIOSGASNATURALSAS</t>
  </si>
  <si>
    <t>SMSERVICIOSGASNATURALSAS</t>
  </si>
  <si>
    <t>SonMotosSAS</t>
  </si>
  <si>
    <t>INACSASAS</t>
  </si>
  <si>
    <t>CENTRALMOTOSLEBRIJASAS</t>
  </si>
  <si>
    <t>CHPMATERIALESPARACONTRUCCIONSAS</t>
  </si>
  <si>
    <t>ActivosDZSAS</t>
  </si>
  <si>
    <t>ADIELADELOMBANASA</t>
  </si>
  <si>
    <t>AGROHONDALASAS</t>
  </si>
  <si>
    <t>AlfagresSA-EnReorganización</t>
  </si>
  <si>
    <t>ALMACENMOTOCAMPOSA</t>
  </si>
  <si>
    <t>ALMACENESCORONASAS</t>
  </si>
  <si>
    <t>ALMACENESFLAMINGOSA</t>
  </si>
  <si>
    <t>ALONDRAMUEBLESYCOLCHONESSAS</t>
  </si>
  <si>
    <t>AUTECOSAS</t>
  </si>
  <si>
    <t>BIKEHOUSESAS</t>
  </si>
  <si>
    <t>BiologicaVehiculosElectricosSAS</t>
  </si>
  <si>
    <t>BMRGroupSAS</t>
  </si>
  <si>
    <t>BrauhofSAS</t>
  </si>
  <si>
    <t>CajetoSAS</t>
  </si>
  <si>
    <t>CARCO-SEVESOCIEDADPORACCIONESSIMPLIFICADASAS</t>
  </si>
  <si>
    <t>CARRAZOSSAS</t>
  </si>
  <si>
    <t>CarreraMotosSAS</t>
  </si>
  <si>
    <t>CASABAJAJMYMSAS</t>
  </si>
  <si>
    <t>CasaHeroSAS</t>
  </si>
  <si>
    <t>CasaSpettacolareSAS</t>
  </si>
  <si>
    <t>CENCOSUDCOLOMBIASA</t>
  </si>
  <si>
    <t>CERAMICASDELASABANASAS</t>
  </si>
  <si>
    <t>CimaxcolSAS</t>
  </si>
  <si>
    <t>COLCHONESCARIFONSAS</t>
  </si>
  <si>
    <t>COLCHONESSTOPPINGSAS</t>
  </si>
  <si>
    <t>COMERCIALIZADORSYGTECHSAS</t>
  </si>
  <si>
    <t>ComercializadoradeMotosIsakaSAS</t>
  </si>
  <si>
    <t>COMPAÑIADEMARKETINGYSERVICIOSSAS</t>
  </si>
  <si>
    <t>CompañíaNacionaldeMotocicletasSAS</t>
  </si>
  <si>
    <t>COONDORMOBILITYSAS</t>
  </si>
  <si>
    <t>CredimotosdeColombiaSAS</t>
  </si>
  <si>
    <t>CredimovildeColombiaSAS</t>
  </si>
  <si>
    <t>DecoradosyAcabadosCeramicosSAS</t>
  </si>
  <si>
    <t>DigimotosdeColombiaSAS</t>
  </si>
  <si>
    <t>DiscercolGroupSAS</t>
  </si>
  <si>
    <t>DISTRIBUCIONESEDSOVASAS</t>
  </si>
  <si>
    <t>DistribuidoradeMotoresyMovilidadDimovilSAS</t>
  </si>
  <si>
    <t>DistribuidoraMotocentroSAS</t>
  </si>
  <si>
    <t>DISTRICERAMICASBLAPERSA</t>
  </si>
  <si>
    <t>DistricolmotosSAS</t>
  </si>
  <si>
    <t>DISTRIMOTOSDECOLOMBIASAS</t>
  </si>
  <si>
    <t>DISTRITODOVSSAS</t>
  </si>
  <si>
    <t>DIVERXASAS</t>
  </si>
  <si>
    <t>ECOMOTORESINTERNACIONALSAS</t>
  </si>
  <si>
    <t>ELPINTORPSDISTRIBUCIONESSAS</t>
  </si>
  <si>
    <t>ElectricWorldSAS</t>
  </si>
  <si>
    <t>ELECTROAOSAS</t>
  </si>
  <si>
    <t>ELECTRODOMESTICOSMILLERSAS</t>
  </si>
  <si>
    <t>EUROPUNTOJJSAS</t>
  </si>
  <si>
    <t>EVOLUTIONFITNESSCORPORATIONSAS</t>
  </si>
  <si>
    <t>FANTASIAELECTRONICASAS</t>
  </si>
  <si>
    <t>FERRETERIALUISPENAGOSSAS</t>
  </si>
  <si>
    <t>FRIOKINGIMPORTACIONESYDISTRIBUCIONESSAS</t>
  </si>
  <si>
    <t>FUNSPOTSAS</t>
  </si>
  <si>
    <t>GBCAccesoriosSAS</t>
  </si>
  <si>
    <t>GLOBALDANACORSAS</t>
  </si>
  <si>
    <t>GOMENALSAS</t>
  </si>
  <si>
    <t>GomezyCiaSAS</t>
  </si>
  <si>
    <t>GRUPOFERRETEROFCSAS</t>
  </si>
  <si>
    <t>GRUPOMERPESSAS</t>
  </si>
  <si>
    <t>GrupoSupermotosSAS</t>
  </si>
  <si>
    <t>GrupoUMASAS</t>
  </si>
  <si>
    <t>GRUPOVISUALIZZASAS</t>
  </si>
  <si>
    <t>HannasMotosSAS</t>
  </si>
  <si>
    <t>HMCLCOLOMBIASAS</t>
  </si>
  <si>
    <t>HoldingMotorGroupSAS</t>
  </si>
  <si>
    <t>HOMESTYLEEUROPASAS</t>
  </si>
  <si>
    <t>IMPORTACIONESNISUTASAS</t>
  </si>
  <si>
    <t>InnovationMotosNGSAS</t>
  </si>
  <si>
    <t>INVERSIONESARENASSERRANOSAS</t>
  </si>
  <si>
    <t>InversionesBejaranodelValleSAS</t>
  </si>
  <si>
    <t>INVERSIONESMOTOFUTUROSAS</t>
  </si>
  <si>
    <t>INVERSIONESVARGAS&amp;GAFAROSAS</t>
  </si>
  <si>
    <t>IonicMotorsSAS</t>
  </si>
  <si>
    <t>IvanBoteroGomezSA</t>
  </si>
  <si>
    <t>LobiCarSAS</t>
  </si>
  <si>
    <t>MacroMotosGoldenSAS</t>
  </si>
  <si>
    <t>MasdaSAS</t>
  </si>
  <si>
    <t>METROCYCLESSAS</t>
  </si>
  <si>
    <t>MotoAutoStoreSAS</t>
  </si>
  <si>
    <t>MOTOCUBICOSAS</t>
  </si>
  <si>
    <t>MotoMarketGroupSAS</t>
  </si>
  <si>
    <t>MotoNewsSAS</t>
  </si>
  <si>
    <t>MotoServicesSAS</t>
  </si>
  <si>
    <t>MotoXtremeHeroSAS</t>
  </si>
  <si>
    <t>MotoniponSAS</t>
  </si>
  <si>
    <t>MOTORACINGDECOLOMBIASAS</t>
  </si>
  <si>
    <t>MotorcycleLandSAS</t>
  </si>
  <si>
    <t>MotorcycleMarketsSAS</t>
  </si>
  <si>
    <t>MotoreddeColombiaSAS</t>
  </si>
  <si>
    <t>MOTOSACOSTASAS</t>
  </si>
  <si>
    <t>MotosCundinamarcaSAS</t>
  </si>
  <si>
    <t>MotosdelCaminoSAS</t>
  </si>
  <si>
    <t>MotosdelTropicoSAS</t>
  </si>
  <si>
    <t>MotosMacrostoreSAS</t>
  </si>
  <si>
    <t>MotosNakedSAS</t>
  </si>
  <si>
    <t>MotoselvaMotocicletasSAS</t>
  </si>
  <si>
    <t>MovilidadElectricaCanaanSAS</t>
  </si>
  <si>
    <t>MovilidadenLíneaSAS</t>
  </si>
  <si>
    <t>MOVIMOTORSAS</t>
  </si>
  <si>
    <t>MUEBLESJAMARSA</t>
  </si>
  <si>
    <t>MundoCrossBogotáSAS</t>
  </si>
  <si>
    <t>MundodeLaMovilidadSAS</t>
  </si>
  <si>
    <t>PISOSYENCHAPESEUROCARIBESAS</t>
  </si>
  <si>
    <t>PlanetaMotosSAS</t>
  </si>
  <si>
    <t>PULLUPSAS</t>
  </si>
  <si>
    <t>PUNTOCENTERSAS</t>
  </si>
  <si>
    <t>QueMotoSAS</t>
  </si>
  <si>
    <t>REVESTIMIENTOCERAMICODELASABANASAS</t>
  </si>
  <si>
    <t>RODDOSSAS</t>
  </si>
  <si>
    <t>SABANAMOTOSDECOLOMBIASAS</t>
  </si>
  <si>
    <t>SERVIAUTECHORIENTESAS</t>
  </si>
  <si>
    <t>SimotosSAS</t>
  </si>
  <si>
    <t>SOCODASAS</t>
  </si>
  <si>
    <t>SportMotosCompanySAS</t>
  </si>
  <si>
    <t>SUMOTODELMAGDALENASAS</t>
  </si>
  <si>
    <t>SUEÑOSYCONFORTSAS</t>
  </si>
  <si>
    <t>SUPERELECTROORIENTESAS</t>
  </si>
  <si>
    <t>TODOMOTOSVSSAS</t>
  </si>
  <si>
    <t>TomaTuMotoSAS</t>
  </si>
  <si>
    <t>TurboPartesDieselSAS</t>
  </si>
  <si>
    <t>UltracemSAS</t>
  </si>
  <si>
    <t>UsadasCertificadasSAS</t>
  </si>
  <si>
    <t>VelmotorSAS</t>
  </si>
  <si>
    <t>VIAMOTOSSAS</t>
  </si>
  <si>
    <t>YamarinosKasamotosSAS</t>
  </si>
  <si>
    <t>ZAGAMOTOSDELPACIFICOSAS</t>
  </si>
  <si>
    <t>ZetaMobiitySAS</t>
  </si>
  <si>
    <t>MOTOPLANETSAS</t>
  </si>
  <si>
    <t>BANAMOTOSSAS</t>
  </si>
  <si>
    <t>CENTROMOTOSDECOLOMBIASAS</t>
  </si>
  <si>
    <t>COMERCIALMEYERCESARSASZOMAC</t>
  </si>
  <si>
    <t>GRUPOMANSIONSAS</t>
  </si>
  <si>
    <t>HIPERMERCADOCENTRALDEELECTRODOMESTICOSSASHICELSAS</t>
  </si>
  <si>
    <t>NEGOCIOSEINVERSIONESSINGSSAS</t>
  </si>
  <si>
    <t>MOTOMOVILDECOLOMBIASAS</t>
  </si>
  <si>
    <t>FERRE-TODOSAS</t>
  </si>
  <si>
    <t>KORATTISAS</t>
  </si>
  <si>
    <t>DISTRIBUIDORAELHUECOSAS</t>
  </si>
  <si>
    <t>supervisor</t>
  </si>
  <si>
    <t>1.074.184.799-5</t>
  </si>
  <si>
    <t>830.506.750-1</t>
  </si>
  <si>
    <t>Nombre Correcto</t>
  </si>
  <si>
    <t>Anderson Osorio Perez</t>
  </si>
  <si>
    <t>901.480.976-1</t>
  </si>
  <si>
    <t>Inversiones Camilo Rojas</t>
  </si>
  <si>
    <t>901.116.697-0</t>
  </si>
  <si>
    <t xml:space="preserve">+ MOTOS + REPUESTOS S.A.S </t>
  </si>
  <si>
    <t>Inversiones Gutiérrez Hernandéz S.A.S</t>
  </si>
  <si>
    <t>901.332.582-8</t>
  </si>
  <si>
    <t>MOTOS Y REPUESTOS LA PRINCIPAL S.A.</t>
  </si>
  <si>
    <t>900.592.506-9</t>
  </si>
  <si>
    <t>901.380.042-7</t>
  </si>
  <si>
    <t>PINTURAS DUROCOLOR S.A.S.</t>
  </si>
  <si>
    <t>860.041.265-0</t>
  </si>
  <si>
    <t>Colchones El Dorado</t>
  </si>
  <si>
    <t>7.320.244-9</t>
  </si>
  <si>
    <t xml:space="preserve">Georges Fouad El Achkar </t>
  </si>
  <si>
    <t>900.256.370-4</t>
  </si>
  <si>
    <t>CHP MATERIALES PARA CONSTRUCCION S.A.S</t>
  </si>
  <si>
    <t>1.098.705.482-0</t>
  </si>
  <si>
    <t>Cadena Burgos Iván David</t>
  </si>
  <si>
    <t>901.338.931-2</t>
  </si>
  <si>
    <t>1.096.204.766-1</t>
  </si>
  <si>
    <t>RICARDO ORTIZ RAMIREZ</t>
  </si>
  <si>
    <t>901.399.755-3</t>
  </si>
  <si>
    <t>901417199-6</t>
  </si>
  <si>
    <t>890.331.426-3</t>
  </si>
  <si>
    <t>900.861.288-2</t>
  </si>
  <si>
    <t>830.139.227-4</t>
  </si>
  <si>
    <t>800.060.530-0</t>
  </si>
  <si>
    <t>860.032.550-7</t>
  </si>
  <si>
    <t>900.243.359-6</t>
  </si>
  <si>
    <t>860.500.480-8</t>
  </si>
  <si>
    <t>890.900.608-9</t>
  </si>
  <si>
    <t>890914526-4</t>
  </si>
  <si>
    <t>900.877.788-3</t>
  </si>
  <si>
    <t>901222067-4</t>
  </si>
  <si>
    <t>830.514.610-0</t>
  </si>
  <si>
    <t>1.015.443.185-0</t>
  </si>
  <si>
    <t>890.112.870-1</t>
  </si>
  <si>
    <t>890.900.317-0</t>
  </si>
  <si>
    <t>811.041.746-3</t>
  </si>
  <si>
    <t>900.966.904-3</t>
  </si>
  <si>
    <t>900.627.638-5</t>
  </si>
  <si>
    <t>900673405-1</t>
  </si>
  <si>
    <t>900.656.227-5</t>
  </si>
  <si>
    <t>900.220.829-7</t>
  </si>
  <si>
    <t>820001772-7</t>
  </si>
  <si>
    <t>901.389.008-7</t>
  </si>
  <si>
    <t>811.034.932-8</t>
  </si>
  <si>
    <t>901.525.817-2</t>
  </si>
  <si>
    <t>80.796.756-6</t>
  </si>
  <si>
    <t>860002523-1</t>
  </si>
  <si>
    <t>900.155.107-1</t>
  </si>
  <si>
    <t>890.503.314-6</t>
  </si>
  <si>
    <t>900.128.711-4</t>
  </si>
  <si>
    <t>900.674.991.0</t>
  </si>
  <si>
    <t>80.825.019-1</t>
  </si>
  <si>
    <t>37.369.692-6</t>
  </si>
  <si>
    <t>901.354.071-0</t>
  </si>
  <si>
    <t>901363648-8</t>
  </si>
  <si>
    <t>900.107.250-0</t>
  </si>
  <si>
    <t>890.900.943-1</t>
  </si>
  <si>
    <t>901.280.681-4</t>
  </si>
  <si>
    <t>900.886.422-1</t>
  </si>
  <si>
    <t>901.339.807-1</t>
  </si>
  <si>
    <t>901.381.294-0</t>
  </si>
  <si>
    <t>900.026.821-8</t>
  </si>
  <si>
    <t>860.002.536-5</t>
  </si>
  <si>
    <t>901326861-3</t>
  </si>
  <si>
    <t xml:space="preserve">901.703.797-7 </t>
  </si>
  <si>
    <t>806015647-4</t>
  </si>
  <si>
    <t>901.471.128-2</t>
  </si>
  <si>
    <t>901.617.641-9</t>
  </si>
  <si>
    <t>890.201.063-6</t>
  </si>
  <si>
    <t>901.113.085-1</t>
  </si>
  <si>
    <t>900.900.755-9</t>
  </si>
  <si>
    <t>901.431.495-1</t>
  </si>
  <si>
    <t>830.029.932-7</t>
  </si>
  <si>
    <t>901.334.454-2</t>
  </si>
  <si>
    <t>901.318.116-0</t>
  </si>
  <si>
    <t>49.656.079-5</t>
  </si>
  <si>
    <t>890.931.835-7</t>
  </si>
  <si>
    <t>901.486.742-0</t>
  </si>
  <si>
    <t>900.513.703-6</t>
  </si>
  <si>
    <t>900.167.305-3</t>
  </si>
  <si>
    <t>901799747-0</t>
  </si>
  <si>
    <t>900.406.185-2</t>
  </si>
  <si>
    <t>900.963.748-7</t>
  </si>
  <si>
    <t>900.520.488-6</t>
  </si>
  <si>
    <t>830.506.751-7</t>
  </si>
  <si>
    <t>900.708.068-5</t>
  </si>
  <si>
    <t>901.284.143-1</t>
  </si>
  <si>
    <t>900.509.433-7</t>
  </si>
  <si>
    <t>901.491.022-6</t>
  </si>
  <si>
    <t>806.013.052-3</t>
  </si>
  <si>
    <t>901.201.234-8</t>
  </si>
  <si>
    <t>900.072.047-9</t>
  </si>
  <si>
    <t>900.717.204-9</t>
  </si>
  <si>
    <t>800182345-8</t>
  </si>
  <si>
    <t>830.037.039-8</t>
  </si>
  <si>
    <t>800237412-1</t>
  </si>
  <si>
    <t>901.405.093-2</t>
  </si>
  <si>
    <t>900.740.219-5</t>
  </si>
  <si>
    <t>901.706.972-3</t>
  </si>
  <si>
    <t>901.109.440-6</t>
  </si>
  <si>
    <t>901286264-3 </t>
  </si>
  <si>
    <t>18.967.230-3</t>
  </si>
  <si>
    <t>901.285.907-6</t>
  </si>
  <si>
    <t>900.230.578-6</t>
  </si>
  <si>
    <t>860.051.112-5</t>
  </si>
  <si>
    <t>800.205.109-7</t>
  </si>
  <si>
    <t>901.635.124-9</t>
  </si>
  <si>
    <t>800.226.887-9</t>
  </si>
  <si>
    <t>901.038.167-4</t>
  </si>
  <si>
    <t>901.261.048-0</t>
  </si>
  <si>
    <t>901.426.973-9</t>
  </si>
  <si>
    <t>900.673.058-9</t>
  </si>
  <si>
    <t>91.481.263-4</t>
  </si>
  <si>
    <t>91.205.799-8</t>
  </si>
  <si>
    <t>900.723.988-9</t>
  </si>
  <si>
    <t>901.282.489-5</t>
  </si>
  <si>
    <t>901.701.706-8</t>
  </si>
  <si>
    <t>901.164.437-7</t>
  </si>
  <si>
    <t>900.678.108-1</t>
  </si>
  <si>
    <t>860000794-1</t>
  </si>
  <si>
    <t>901426916-9</t>
  </si>
  <si>
    <t>890.206.997-2</t>
  </si>
  <si>
    <t>901.417.614-1</t>
  </si>
  <si>
    <t>900982812-1</t>
  </si>
  <si>
    <t>830.095.579-0</t>
  </si>
  <si>
    <t>901.127.287-1</t>
  </si>
  <si>
    <t>900.388.518-3</t>
  </si>
  <si>
    <t>901.624.193-1</t>
  </si>
  <si>
    <t>901.069.762-1</t>
  </si>
  <si>
    <t>802.014.471-6</t>
  </si>
  <si>
    <t>901.431.082-1</t>
  </si>
  <si>
    <t>890001600-3</t>
  </si>
  <si>
    <t>1.070.953.688-1</t>
  </si>
  <si>
    <t>11.371.224-4</t>
  </si>
  <si>
    <t>53.064.129-9</t>
  </si>
  <si>
    <t>901.039.691-7</t>
  </si>
  <si>
    <t>37.317.092-4</t>
  </si>
  <si>
    <t>5.129.014-7</t>
  </si>
  <si>
    <t>900.449.570-1</t>
  </si>
  <si>
    <t>1.072.653.223-0</t>
  </si>
  <si>
    <t>900.791.311-3</t>
  </si>
  <si>
    <t>900.940.966-7</t>
  </si>
  <si>
    <t>805.013.094-9</t>
  </si>
  <si>
    <t>901.397.107-1</t>
  </si>
  <si>
    <t>800.115.228-9</t>
  </si>
  <si>
    <t>801.002.644-8</t>
  </si>
  <si>
    <t>832.004.104-4</t>
  </si>
  <si>
    <t>900.802.186-8</t>
  </si>
  <si>
    <t>901.424.093-3</t>
  </si>
  <si>
    <t>901.551.590-6</t>
  </si>
  <si>
    <t>900.524.476-6</t>
  </si>
  <si>
    <t>900.629.331-9</t>
  </si>
  <si>
    <t>900.365.821-1</t>
  </si>
  <si>
    <t>900.304.472-3</t>
  </si>
  <si>
    <t>901.505.625-1</t>
  </si>
  <si>
    <t>901.427.004-1</t>
  </si>
  <si>
    <t>900.033.741-6</t>
  </si>
  <si>
    <t>901.535.899-9</t>
  </si>
  <si>
    <t>901133211-7</t>
  </si>
  <si>
    <t>900.367.920-1</t>
  </si>
  <si>
    <t>900.749.690-2</t>
  </si>
  <si>
    <t>900.252.527-5</t>
  </si>
  <si>
    <t>900.524.098-5</t>
  </si>
  <si>
    <t>901462497-7</t>
  </si>
  <si>
    <t>900.751.853-2 </t>
  </si>
  <si>
    <t>830.141.907-0</t>
  </si>
  <si>
    <t> 901.648.875-8</t>
  </si>
  <si>
    <t>901.466.776-5</t>
  </si>
  <si>
    <t>900.881.260-2</t>
  </si>
  <si>
    <t>900.694.662-8 </t>
  </si>
  <si>
    <t>901.522.806-8</t>
  </si>
  <si>
    <t>28.239.988-0</t>
  </si>
  <si>
    <t>900.591.836-1</t>
  </si>
  <si>
    <t>900.928.000-3</t>
  </si>
  <si>
    <t>901.624.447-5</t>
  </si>
  <si>
    <t>901.486.462-3</t>
  </si>
  <si>
    <t>900.380.508-3</t>
  </si>
  <si>
    <t>900061516-4</t>
  </si>
  <si>
    <t>900.418.144-2</t>
  </si>
  <si>
    <t>900.576.714-7</t>
  </si>
  <si>
    <t>901.121.878-7</t>
  </si>
  <si>
    <t>811.043.597-1</t>
  </si>
  <si>
    <t>890.107.487-3</t>
  </si>
  <si>
    <t>900.450.159-7</t>
  </si>
  <si>
    <t>900.374.366-1</t>
  </si>
  <si>
    <t>900.511.135-3</t>
  </si>
  <si>
    <t>900.137.429-1</t>
  </si>
  <si>
    <t>901.410.698-8</t>
  </si>
  <si>
    <t>819.001.132-1</t>
  </si>
  <si>
    <t>900.599.349-0</t>
  </si>
  <si>
    <t>901.643.599-7</t>
  </si>
  <si>
    <t>901.012.622-1</t>
  </si>
  <si>
    <t>77.154.688-8</t>
  </si>
  <si>
    <t>901.439.165-0</t>
  </si>
  <si>
    <t>901525476-4</t>
  </si>
  <si>
    <t>900.703.024-9</t>
  </si>
  <si>
    <t>900.580.964-7</t>
  </si>
  <si>
    <t>890.914.515-3</t>
  </si>
  <si>
    <t>800.242.106-2</t>
  </si>
  <si>
    <t>891.801.918-6</t>
  </si>
  <si>
    <t>900.824.071-4 </t>
  </si>
  <si>
    <t>901.426.126-7</t>
  </si>
  <si>
    <t>900.112.253-2</t>
  </si>
  <si>
    <t>901.593.146-9</t>
  </si>
  <si>
    <t>830.074.158-3</t>
  </si>
  <si>
    <t>900.866.525-6</t>
  </si>
  <si>
    <t>901.553.882-0</t>
  </si>
  <si>
    <t>901.137.446-9</t>
  </si>
  <si>
    <t>900.401.016-3</t>
  </si>
  <si>
    <t>900.570.964-4</t>
  </si>
  <si>
    <t>901.479.776-1</t>
  </si>
  <si>
    <t>901.150.789-3</t>
  </si>
  <si>
    <t>901.010.155-4</t>
  </si>
  <si>
    <t>900.385.258-1</t>
  </si>
  <si>
    <t>830.011.284- 3</t>
  </si>
  <si>
    <t>900.582.557-1</t>
  </si>
  <si>
    <t>901.578.730 – 8</t>
  </si>
  <si>
    <t>804.000.426-0</t>
  </si>
  <si>
    <t>900.160.477-1</t>
  </si>
  <si>
    <t>13.177.187-6</t>
  </si>
  <si>
    <t>900.444.489-8</t>
  </si>
  <si>
    <t>1.098.623.565-0</t>
  </si>
  <si>
    <t>901.188.467-1</t>
  </si>
  <si>
    <t>13.359.408-0</t>
  </si>
  <si>
    <t>900.390.730-5</t>
  </si>
  <si>
    <t>900.553.426-1</t>
  </si>
  <si>
    <t>901.449.176-4</t>
  </si>
  <si>
    <t>80.176.846-0</t>
  </si>
  <si>
    <t>800.137.486-7</t>
  </si>
  <si>
    <t>830.066.519-5</t>
  </si>
  <si>
    <t>860.074.578-2</t>
  </si>
  <si>
    <t>900.929.001-0</t>
  </si>
  <si>
    <t>901.131.489-8</t>
  </si>
  <si>
    <t>901.265.134-4</t>
  </si>
  <si>
    <t>901.613.770-2</t>
  </si>
  <si>
    <t>901.568.278 - 7</t>
  </si>
  <si>
    <t>900.777.108-6</t>
  </si>
  <si>
    <t>890206735-1</t>
  </si>
  <si>
    <t>63.474.887-9</t>
  </si>
  <si>
    <t>800.242.799-6</t>
  </si>
  <si>
    <t>890.208.890-2</t>
  </si>
  <si>
    <t>91.511.591-5</t>
  </si>
  <si>
    <t>901.473.509-4</t>
  </si>
  <si>
    <t>901.364.757-7</t>
  </si>
  <si>
    <t>891.800.215-2</t>
  </si>
  <si>
    <t>900.479.120-7</t>
  </si>
  <si>
    <t>1002976418 </t>
  </si>
  <si>
    <t>1002961842 </t>
  </si>
  <si>
    <t>1002965667 </t>
  </si>
  <si>
    <t>1002075002 </t>
  </si>
  <si>
    <t>1002974375 </t>
  </si>
  <si>
    <t>1002952242 </t>
  </si>
  <si>
    <t>1002976422 </t>
  </si>
  <si>
    <t>1002978713 </t>
  </si>
  <si>
    <t>1002961822 </t>
  </si>
  <si>
    <t>1002973044 </t>
  </si>
  <si>
    <t>1002954095 </t>
  </si>
  <si>
    <t>1002958481 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</si>
</sst>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Garamond"/>
      <family val="1"/>
    </font>
    <font>
      <b/>
      <sz val="9"/>
      <color rgb="FFFFFFFF"/>
      <name val="Muli"/>
    </font>
    <font>
      <sz val="8"/>
      <color theme="1"/>
      <name val="Mul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203764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6" fillId="0" borderId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quotePrefix="1" applyFont="1" applyAlignment="1">
      <alignment horizontal="left" vertical="top"/>
    </xf>
    <xf numFmtId="0" fontId="3" fillId="0" borderId="1" xfId="1" applyFont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5" fillId="0" borderId="1" xfId="2" applyFont="1" applyBorder="1" applyAlignment="1">
      <alignment wrapText="1"/>
    </xf>
    <xf numFmtId="0" fontId="5" fillId="0" borderId="1" xfId="3" applyFont="1" applyBorder="1" applyAlignment="1">
      <alignment wrapText="1"/>
    </xf>
    <xf numFmtId="0" fontId="7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4" borderId="3" xfId="0" applyFont="1" applyFill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0" fillId="5" borderId="0" xfId="0" applyFill="1"/>
    <xf numFmtId="0" fontId="10" fillId="6" borderId="2" xfId="0" applyFont="1" applyFill="1" applyBorder="1" applyAlignment="1">
      <alignment horizontal="left"/>
    </xf>
    <xf numFmtId="3" fontId="10" fillId="0" borderId="2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</cellXfs>
  <cellStyles count="4">
    <cellStyle name="Normal" xfId="0" builtinId="0"/>
    <cellStyle name="Normal_Hoja2" xfId="1" xr:uid="{07BAC09C-6838-4CA3-BD20-B64B0CEF1C5E}"/>
    <cellStyle name="Normal_Hoja2_1" xfId="3" xr:uid="{94D0881C-66EB-4DFA-82ED-38E3F92D3D69}"/>
    <cellStyle name="Normal_Hoja2_2" xfId="2" xr:uid="{55C00DDF-DC35-4BCE-9743-123F93CD8F6C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00082889\Downloads\diccionario_aliados_Marzo%20(1).xlsx" TargetMode="External"/><Relationship Id="rId1" Type="http://schemas.openxmlformats.org/officeDocument/2006/relationships/externalLinkPath" Target="file:///D:\Users\00082889\Downloads\diccionario_aliados_Marzo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Hoja1"/>
      <sheetName val="Parametros"/>
    </sheetNames>
    <sheetDataSet>
      <sheetData sheetId="0">
        <row r="1">
          <cell r="I1" t="str">
            <v>llave</v>
          </cell>
          <cell r="J1" t="str">
            <v>Supervisor</v>
          </cell>
        </row>
        <row r="2">
          <cell r="I2" t="str">
            <v>MAS MOTOS MAS REPUESTOSGNCB</v>
          </cell>
          <cell r="J2" t="str">
            <v>Lina del Mar Florez</v>
          </cell>
        </row>
        <row r="3">
          <cell r="I3" t="str">
            <v>4 EN MOVIMIENTO SASVANTI</v>
          </cell>
          <cell r="J3" t="str">
            <v>Juan Carlos Pinilla</v>
          </cell>
        </row>
        <row r="4">
          <cell r="I4" t="str">
            <v>4 EN MOVIMIENTO SASGNCB</v>
          </cell>
          <cell r="J4" t="str">
            <v>Lina del Mar Florez</v>
          </cell>
        </row>
        <row r="5">
          <cell r="I5" t="str">
            <v>ABASTECIMIENTO, ASESORIAS Y ACOMPAÑAMIENTO GAS NATURAL SAS / AAA GAS NATURAL SAS VANTI</v>
          </cell>
          <cell r="J5" t="str">
            <v>Firma Instaladora</v>
          </cell>
        </row>
        <row r="6">
          <cell r="I6" t="str">
            <v>AC INGENIERIA E INTERVENTORIA DE GAS S.A.SVANTI</v>
          </cell>
          <cell r="J6" t="str">
            <v>Firma Instaladora</v>
          </cell>
        </row>
        <row r="7">
          <cell r="I7" t="str">
            <v>AC INGENIERIA E INTERVENTORIA DE GAS S.A.SGNCB</v>
          </cell>
          <cell r="J7" t="str">
            <v>Firma Instaladora</v>
          </cell>
        </row>
        <row r="8">
          <cell r="I8" t="str">
            <v>Activos DZ S.A.S.VANTI</v>
          </cell>
          <cell r="J8" t="str">
            <v>Juan Carlos Pinilla</v>
          </cell>
        </row>
        <row r="9">
          <cell r="I9" t="str">
            <v>ADIELA DE LOMBANA S.AVANTI</v>
          </cell>
          <cell r="J9" t="str">
            <v>Juan Carlos Pinilla</v>
          </cell>
        </row>
        <row r="10">
          <cell r="I10" t="str">
            <v>AGRO HONDA LA S.A.SGNC</v>
          </cell>
          <cell r="J10" t="str">
            <v>Lina del Mar Florez</v>
          </cell>
        </row>
        <row r="11">
          <cell r="I11" t="str">
            <v>AGRONAUTICA MOTOS IMPORTADORES LTDAVANTI</v>
          </cell>
          <cell r="J11" t="str">
            <v>Juan Carlos Pinilla</v>
          </cell>
        </row>
        <row r="12">
          <cell r="I12" t="str">
            <v>AGUA Y GAS INGENIERIA SASVANTI</v>
          </cell>
          <cell r="J12" t="str">
            <v>Firma Instaladora</v>
          </cell>
        </row>
        <row r="13">
          <cell r="I13" t="str">
            <v>ALCA LTDAGNCB</v>
          </cell>
          <cell r="J13" t="str">
            <v>Lina del Mar Florez</v>
          </cell>
        </row>
        <row r="14">
          <cell r="I14" t="str">
            <v>ALCA LTDAGNC</v>
          </cell>
          <cell r="J14" t="str">
            <v>Lina del Mar Florez</v>
          </cell>
        </row>
        <row r="15">
          <cell r="I15" t="str">
            <v>ALFAGAS SERVICIOS SASVANTI</v>
          </cell>
          <cell r="J15" t="str">
            <v>Firma Instaladora</v>
          </cell>
        </row>
        <row r="16">
          <cell r="I16" t="str">
            <v>Alfagres S.A. - En ReorganizaciónGNC</v>
          </cell>
          <cell r="J16" t="str">
            <v>Lina del Mar Florez</v>
          </cell>
        </row>
        <row r="17">
          <cell r="I17" t="str">
            <v>ALMACEN MOTOCAMPO S.A.GNC</v>
          </cell>
          <cell r="J17" t="str">
            <v>Lina del Mar Florez</v>
          </cell>
        </row>
        <row r="18">
          <cell r="I18" t="str">
            <v>ALMACENES CORONA S.A.SGNC</v>
          </cell>
          <cell r="J18" t="str">
            <v>Lina del Mar Florez</v>
          </cell>
        </row>
        <row r="19">
          <cell r="I19" t="str">
            <v>ALMACENES EXITO S AGNC</v>
          </cell>
          <cell r="J19" t="str">
            <v>Lina del Mar Florez</v>
          </cell>
        </row>
        <row r="20">
          <cell r="I20" t="str">
            <v>ALMACENES EXITO S A 2GNCB</v>
          </cell>
          <cell r="J20" t="str">
            <v>Lina del Mar Florez</v>
          </cell>
        </row>
        <row r="21">
          <cell r="I21" t="str">
            <v>ALMACENES FLAMINGO S.AVANTI</v>
          </cell>
          <cell r="J21" t="str">
            <v>Janneth Torres Hernandez</v>
          </cell>
        </row>
        <row r="22">
          <cell r="I22" t="str">
            <v>ALONDRA MUEBLES Y COLCHONES S.A.SGNC</v>
          </cell>
          <cell r="J22" t="str">
            <v>Lina del Mar Florez</v>
          </cell>
        </row>
        <row r="23">
          <cell r="I23" t="str">
            <v>Altycombpo SASGNCB</v>
          </cell>
          <cell r="J23" t="str">
            <v>Lina del Mar Florez</v>
          </cell>
        </row>
        <row r="24">
          <cell r="I24" t="str">
            <v>Altycombpo SASVANTI</v>
          </cell>
          <cell r="J24" t="str">
            <v>Juan Carlos Pinilla</v>
          </cell>
        </row>
        <row r="25">
          <cell r="I25" t="str">
            <v>AMBIENTES CERAMICOS LTDAVANTI</v>
          </cell>
          <cell r="J25" t="str">
            <v>Juan Carlos Pinilla</v>
          </cell>
        </row>
        <row r="26">
          <cell r="I26" t="str">
            <v>Ana Maria ParraVANTI</v>
          </cell>
          <cell r="J26" t="str">
            <v>Juan Carlos Pinilla</v>
          </cell>
        </row>
        <row r="27">
          <cell r="I27" t="str">
            <v>ANDERSON OSORIO PEREZ (MODUCOL)VANTI</v>
          </cell>
          <cell r="J27" t="str">
            <v>Juan Carlos Pinilla</v>
          </cell>
        </row>
        <row r="28">
          <cell r="I28" t="str">
            <v>APROGAS EUGNCB</v>
          </cell>
          <cell r="J28" t="str">
            <v>Firma Instaladora</v>
          </cell>
        </row>
        <row r="29">
          <cell r="I29" t="str">
            <v>APROGAS EUVANTI</v>
          </cell>
          <cell r="J29" t="str">
            <v>Firma Instaladora</v>
          </cell>
        </row>
        <row r="30">
          <cell r="I30" t="str">
            <v>APS INGENIERIA DE GASVANTI</v>
          </cell>
          <cell r="J30" t="str">
            <v>Firma Instaladora</v>
          </cell>
        </row>
        <row r="31">
          <cell r="I31" t="str">
            <v>APS INGENIERIA DE GASGNCB</v>
          </cell>
          <cell r="J31" t="str">
            <v>Firma Instaladora</v>
          </cell>
        </row>
        <row r="32">
          <cell r="I32" t="str">
            <v>AR CAPITAL SASVANTI</v>
          </cell>
          <cell r="J32" t="str">
            <v>Firma Instaladora</v>
          </cell>
        </row>
        <row r="33">
          <cell r="I33" t="str">
            <v>AR CAPITAL SASGNCB</v>
          </cell>
          <cell r="J33" t="str">
            <v>Firma Instaladora</v>
          </cell>
        </row>
        <row r="34">
          <cell r="I34" t="str">
            <v>ARHUS INGENIEROS LTDAVANTI</v>
          </cell>
          <cell r="J34" t="str">
            <v>Firma Instaladora</v>
          </cell>
        </row>
        <row r="35">
          <cell r="I35" t="str">
            <v>ASEPROGAS SASVANTI</v>
          </cell>
          <cell r="J35" t="str">
            <v>Firma Instaladora</v>
          </cell>
        </row>
        <row r="36">
          <cell r="I36" t="str">
            <v>ASYCO SASGNC</v>
          </cell>
          <cell r="J36" t="str">
            <v>Lina del Mar Florez</v>
          </cell>
        </row>
        <row r="37">
          <cell r="I37" t="str">
            <v>AUTECO S.A.S.GNC</v>
          </cell>
          <cell r="J37" t="str">
            <v>Lina del Mar Florez</v>
          </cell>
        </row>
        <row r="38">
          <cell r="I38" t="str">
            <v>AUTOGASCOL LTDAGNC</v>
          </cell>
          <cell r="J38" t="str">
            <v>GNV</v>
          </cell>
        </row>
        <row r="39">
          <cell r="I39" t="str">
            <v>BIKE HOUSE S.A.SVANTI</v>
          </cell>
          <cell r="J39" t="str">
            <v>Juan Carlos Pinilla</v>
          </cell>
        </row>
        <row r="40">
          <cell r="I40" t="str">
            <v>BIKE HOUSE S.A.SGNCB</v>
          </cell>
          <cell r="J40" t="str">
            <v>Lina del Mar Florez</v>
          </cell>
        </row>
        <row r="41">
          <cell r="I41" t="str">
            <v>Biologica Vehiculos Electricos S.A.S.GNCB</v>
          </cell>
          <cell r="J41" t="str">
            <v>Lina del Mar Florez</v>
          </cell>
        </row>
        <row r="42">
          <cell r="I42" t="str">
            <v>BMR Group S.A.S.GNCB</v>
          </cell>
          <cell r="J42" t="str">
            <v>Lina del Mar Florez</v>
          </cell>
        </row>
        <row r="43">
          <cell r="I43" t="str">
            <v>Brauhof S.A.S.VANTI</v>
          </cell>
          <cell r="J43" t="str">
            <v>Juan Carlos Pinilla</v>
          </cell>
        </row>
        <row r="44">
          <cell r="I44" t="str">
            <v>Cajeto S.A.S.VANTI</v>
          </cell>
          <cell r="J44" t="str">
            <v>Juan Carlos Pinilla</v>
          </cell>
        </row>
        <row r="45">
          <cell r="I45" t="str">
            <v>CARCO - SEVE SOCIEDAD POR ACCIONES SIMPLIFICADA S.A.S.GNC</v>
          </cell>
          <cell r="J45" t="str">
            <v>Lina del Mar Florez</v>
          </cell>
        </row>
        <row r="46">
          <cell r="I46" t="str">
            <v>CARRAZOS S.A.S.GNCB</v>
          </cell>
          <cell r="J46" t="str">
            <v>Lina del Mar Florez</v>
          </cell>
        </row>
        <row r="47">
          <cell r="I47" t="str">
            <v>Carrera Motos S.A.S.GNC</v>
          </cell>
          <cell r="J47" t="str">
            <v>Lina del Mar Florez</v>
          </cell>
        </row>
        <row r="48">
          <cell r="I48" t="str">
            <v>CASA BAJAJ MYM S.A.S.GNCB</v>
          </cell>
          <cell r="J48" t="str">
            <v>Lina del Mar Florez</v>
          </cell>
        </row>
        <row r="49">
          <cell r="I49" t="str">
            <v>Casa Hero S.A.S.VANTI</v>
          </cell>
          <cell r="J49" t="str">
            <v>Juan Carlos Pinilla</v>
          </cell>
        </row>
        <row r="50">
          <cell r="I50" t="str">
            <v>Casa Spettacolare S.A.SVANTI</v>
          </cell>
          <cell r="J50" t="str">
            <v>Juan Carlos Pinilla</v>
          </cell>
        </row>
        <row r="51">
          <cell r="I51" t="str">
            <v>CEILINGS AND FLOORSGNCB</v>
          </cell>
          <cell r="J51" t="str">
            <v>Lina del Mar Florez</v>
          </cell>
        </row>
        <row r="52">
          <cell r="I52" t="str">
            <v>CEMEX COLOMBIA S.AVANTI</v>
          </cell>
          <cell r="J52" t="str">
            <v>Juan Carlos Pinilla</v>
          </cell>
        </row>
        <row r="53">
          <cell r="I53" t="str">
            <v>CEMEX COLOMBIA S.AGNCB</v>
          </cell>
          <cell r="J53" t="str">
            <v>Lina del Mar Florez</v>
          </cell>
        </row>
        <row r="54">
          <cell r="I54" t="str">
            <v>CENCOSUD COLOMBIA S.AGNC</v>
          </cell>
          <cell r="J54" t="str">
            <v>Lina del Mar Florez</v>
          </cell>
        </row>
        <row r="55">
          <cell r="I55" t="str">
            <v>CENCOSUD COLOMBIA S.AGNCB</v>
          </cell>
          <cell r="J55" t="str">
            <v>Lina del Mar Florez</v>
          </cell>
        </row>
        <row r="56">
          <cell r="I56" t="str">
            <v>CENCOSUD COLOMBIA S.AVANTI</v>
          </cell>
          <cell r="J56" t="str">
            <v>Janneth Torres Hernandez</v>
          </cell>
        </row>
        <row r="57">
          <cell r="I57" t="str">
            <v>CENTRO DE INSTALACIONES DE GAS NATURAL CIGASGNCB</v>
          </cell>
          <cell r="J57" t="str">
            <v>Firma Instaladora</v>
          </cell>
        </row>
        <row r="58">
          <cell r="I58" t="str">
            <v>CENTRO DE INSTALACIONES DE GAS NATURAL CIGASVANTI</v>
          </cell>
          <cell r="J58" t="str">
            <v>Firma Instaladora</v>
          </cell>
        </row>
        <row r="59">
          <cell r="I59" t="str">
            <v>CERAMICA ITALIA S.AVANTI</v>
          </cell>
          <cell r="J59" t="str">
            <v>Juan Carlos Pinilla</v>
          </cell>
        </row>
        <row r="60">
          <cell r="I60" t="str">
            <v>CERAMICAS DE LA SABANA S.A.SGNCB</v>
          </cell>
          <cell r="J60" t="str">
            <v>Lina del Mar Florez</v>
          </cell>
        </row>
        <row r="61">
          <cell r="I61" t="str">
            <v>CHACAM TRADING SASVANTI</v>
          </cell>
          <cell r="J61" t="str">
            <v>Juan Carlos Pinilla</v>
          </cell>
        </row>
        <row r="62">
          <cell r="I62" t="str">
            <v>CHALLENGER S.A.VANTI</v>
          </cell>
          <cell r="J62" t="str">
            <v>Seller</v>
          </cell>
        </row>
        <row r="63">
          <cell r="I63" t="str">
            <v>CHALLENGER S.A.GNCB</v>
          </cell>
          <cell r="J63" t="str">
            <v>Seller</v>
          </cell>
        </row>
        <row r="64">
          <cell r="I64" t="str">
            <v>CHAVES VARGAS GUILLERMO ALFONSOVANTI</v>
          </cell>
          <cell r="J64" t="str">
            <v>Juan Carlos Pinilla</v>
          </cell>
        </row>
        <row r="65">
          <cell r="I65" t="str">
            <v>CHINCHILLA SANTIAGO MILDREDVANTI</v>
          </cell>
          <cell r="J65" t="str">
            <v>Juan Carlos Pinilla</v>
          </cell>
        </row>
        <row r="66">
          <cell r="I66" t="str">
            <v>Cimaxcol S.A.S.GNC</v>
          </cell>
          <cell r="J66" t="str">
            <v>Lina del Mar Florez</v>
          </cell>
        </row>
        <row r="67">
          <cell r="I67" t="str">
            <v>Cimaxcol S.A.S.GNCB</v>
          </cell>
          <cell r="J67" t="str">
            <v>Lina del Mar Florez</v>
          </cell>
        </row>
        <row r="68">
          <cell r="I68" t="str">
            <v>COLCHONES CARIFON S.A.SGNCB</v>
          </cell>
          <cell r="J68" t="str">
            <v>Lina del Mar Florez</v>
          </cell>
        </row>
        <row r="69">
          <cell r="I69" t="str">
            <v>COLCHONES STOPPING S.A.S.GNCB</v>
          </cell>
          <cell r="J69" t="str">
            <v>Lina del Mar Florez</v>
          </cell>
        </row>
        <row r="70">
          <cell r="I70" t="str">
            <v>COLOMBIA GAS VEHICULAR LTDAGNCB</v>
          </cell>
          <cell r="J70" t="str">
            <v>GNV</v>
          </cell>
        </row>
        <row r="71">
          <cell r="I71" t="str">
            <v>COLOMBIA GAS VEHICULAR LTDAVANTI</v>
          </cell>
          <cell r="J71" t="str">
            <v>GNV</v>
          </cell>
        </row>
        <row r="72">
          <cell r="I72" t="str">
            <v>COLOMBIANA AUTOMOTRIZ LTDAVANTI</v>
          </cell>
          <cell r="J72" t="str">
            <v>GNV</v>
          </cell>
        </row>
        <row r="73">
          <cell r="I73" t="str">
            <v>COLOMBIANA AUTOMOTRIZ LTDAGNCB</v>
          </cell>
          <cell r="J73" t="str">
            <v>GNV</v>
          </cell>
        </row>
        <row r="74">
          <cell r="I74" t="str">
            <v>COLOMBIANA DE COMERCIOGNC</v>
          </cell>
          <cell r="J74" t="str">
            <v>Lina del Mar Florez</v>
          </cell>
        </row>
        <row r="75">
          <cell r="I75" t="str">
            <v>COMERCIALIZADOR SYG TECH S.A.S.VANTI</v>
          </cell>
          <cell r="J75" t="str">
            <v>Juan Carlos Pinilla</v>
          </cell>
        </row>
        <row r="76">
          <cell r="I76" t="str">
            <v>Comercializadora de Motos Isaka S.A.S.GNCB</v>
          </cell>
          <cell r="J76" t="str">
            <v>Lina del Mar Florez</v>
          </cell>
        </row>
        <row r="77">
          <cell r="I77" t="str">
            <v>Comercializadora ElecktroasVANTI</v>
          </cell>
          <cell r="J77" t="str">
            <v>Lina del Mar Florez</v>
          </cell>
        </row>
        <row r="78">
          <cell r="I78" t="str">
            <v>Comercializadora ElecktroasGNCB</v>
          </cell>
          <cell r="J78" t="str">
            <v>Lina del Mar Florez</v>
          </cell>
        </row>
        <row r="79">
          <cell r="I79" t="str">
            <v>COMERCIO &amp; MERCADEO JFR S.A.SGNCB</v>
          </cell>
          <cell r="J79" t="str">
            <v>Lina del Mar Florez</v>
          </cell>
        </row>
        <row r="80">
          <cell r="I80" t="str">
            <v>COMERCIO &amp; MERCADEO JFR S.A.SVANTI</v>
          </cell>
          <cell r="J80" t="str">
            <v>Juan Carlos Pinilla</v>
          </cell>
        </row>
        <row r="81">
          <cell r="I81" t="str">
            <v>Comfer SASGNCB</v>
          </cell>
          <cell r="J81" t="str">
            <v>Lina del Mar Florez</v>
          </cell>
        </row>
        <row r="82">
          <cell r="I82" t="str">
            <v>Comfer SASVANTI</v>
          </cell>
          <cell r="J82" t="str">
            <v>Juan Carlos Pinilla</v>
          </cell>
        </row>
        <row r="83">
          <cell r="I83" t="str">
            <v>COMPAÑÍA COLOMBIANA DE CERAMICA SASGNC</v>
          </cell>
          <cell r="J83" t="str">
            <v>Lina del Mar Florez</v>
          </cell>
        </row>
        <row r="84">
          <cell r="I84" t="str">
            <v>COMPAÑÍA COLOMBIANA DE CERAMICA SASVANTI</v>
          </cell>
          <cell r="J84" t="str">
            <v>Juan Carlos Pinilla</v>
          </cell>
        </row>
        <row r="85">
          <cell r="I85" t="str">
            <v>COMPAÑIA DE MARKETING Y SERVICIOS S.A.SGNC</v>
          </cell>
          <cell r="J85" t="str">
            <v>Lina del Mar Florez</v>
          </cell>
        </row>
        <row r="86">
          <cell r="I86" t="str">
            <v>COMPAÑIA DE MARKETING Y SERVICIOS S.A.SVANTI</v>
          </cell>
          <cell r="J86" t="str">
            <v>Juan Carlos Pinilla</v>
          </cell>
        </row>
        <row r="87">
          <cell r="I87" t="str">
            <v>Compañía Nacional de Motocicletas S.A.S.GNCB</v>
          </cell>
          <cell r="J87" t="str">
            <v>Lina del Mar Florez</v>
          </cell>
        </row>
        <row r="88">
          <cell r="I88" t="str">
            <v>COMPULAGO SASGNC</v>
          </cell>
          <cell r="J88" t="str">
            <v>Lina del Mar Florez</v>
          </cell>
        </row>
        <row r="89">
          <cell r="I89" t="str">
            <v>COMUNICACIONES M &amp; P SASGNCB</v>
          </cell>
          <cell r="J89" t="str">
            <v>Lina del Mar Florez</v>
          </cell>
        </row>
        <row r="90">
          <cell r="I90" t="str">
            <v>CONNECT ASSISTANCE S.A.SGNCB</v>
          </cell>
          <cell r="J90" t="str">
            <v>Firma Instaladora</v>
          </cell>
        </row>
        <row r="91">
          <cell r="I91" t="str">
            <v>CONNECT ASSISTANCE S.A.SVANTI</v>
          </cell>
          <cell r="J91" t="str">
            <v>Firma Instaladora</v>
          </cell>
        </row>
        <row r="92">
          <cell r="I92" t="str">
            <v>COONDOR MOBILITY S.A.SGNCB</v>
          </cell>
          <cell r="J92" t="str">
            <v>Lina del Mar Florez</v>
          </cell>
        </row>
        <row r="93">
          <cell r="I93" t="str">
            <v>COOPERATIVA MULTIACTIVA DE LOS TRABAJADORES DE SANTANDER GNCB</v>
          </cell>
          <cell r="J93" t="str">
            <v>Lina del Mar Florez</v>
          </cell>
        </row>
        <row r="94">
          <cell r="I94" t="str">
            <v>COOPERATIVA MULTIACTIVA DE LOS TRABAJADORES DE SANTANDER GNC</v>
          </cell>
          <cell r="J94" t="str">
            <v>Lina del Mar Florez</v>
          </cell>
        </row>
        <row r="95">
          <cell r="I95" t="str">
            <v>COOPERATIVA MULTIACTIVA ECO BOSCOVANTI</v>
          </cell>
          <cell r="J95" t="str">
            <v>Firma Instaladora</v>
          </cell>
        </row>
        <row r="96">
          <cell r="I96" t="str">
            <v>COOPERATIVA MULTIACTIVA ECO BOSCOGNCB</v>
          </cell>
          <cell r="J96" t="str">
            <v>Firma Instaladora</v>
          </cell>
        </row>
        <row r="97">
          <cell r="I97" t="str">
            <v>Credimotos de Colombia S.A.S.GNC</v>
          </cell>
          <cell r="J97" t="str">
            <v>Lina del Mar Florez</v>
          </cell>
        </row>
        <row r="98">
          <cell r="I98" t="str">
            <v>CREDIMOTOS DEL CESAR SASGNC</v>
          </cell>
          <cell r="J98" t="str">
            <v>Lina del Mar Florez</v>
          </cell>
        </row>
        <row r="99">
          <cell r="I99" t="str">
            <v>Credimovil de Colombia S.A.S.GNC</v>
          </cell>
          <cell r="J99" t="str">
            <v>Lina del Mar Florez</v>
          </cell>
        </row>
        <row r="100">
          <cell r="I100" t="str">
            <v>Decorados y Acabados Ceramicos S.A.S.GNCB</v>
          </cell>
          <cell r="J100" t="str">
            <v>Lina del Mar Florez</v>
          </cell>
        </row>
        <row r="101">
          <cell r="I101" t="str">
            <v>Digimotos de Colombia S.A.S.GNCB</v>
          </cell>
          <cell r="J101" t="str">
            <v>Lina del Mar Florez</v>
          </cell>
        </row>
        <row r="102">
          <cell r="I102" t="str">
            <v>Digimotos de Colombia S.A.S.GNC</v>
          </cell>
          <cell r="J102" t="str">
            <v>Lina del Mar Florez</v>
          </cell>
        </row>
        <row r="103">
          <cell r="I103" t="str">
            <v>DIGITALTECH S.A.SVANTI</v>
          </cell>
          <cell r="J103" t="str">
            <v>Juan Carlos Pinilla</v>
          </cell>
        </row>
        <row r="104">
          <cell r="I104" t="str">
            <v>DINA ELAYNE ARIAS CHACÓN GNCB</v>
          </cell>
          <cell r="J104" t="str">
            <v>Lina del Mar Florez</v>
          </cell>
        </row>
        <row r="105">
          <cell r="I105" t="str">
            <v>DINA ELAYNE ARIAS CHACÓN GNC</v>
          </cell>
          <cell r="J105" t="str">
            <v>Lina del Mar Florez</v>
          </cell>
        </row>
        <row r="106">
          <cell r="I106" t="str">
            <v>Discercol Group S.A.S.GNCB</v>
          </cell>
          <cell r="J106" t="str">
            <v>Lina del Mar Florez</v>
          </cell>
        </row>
        <row r="107">
          <cell r="I107" t="str">
            <v>DISMERCA SASGNCB</v>
          </cell>
          <cell r="J107" t="str">
            <v>Lina del Mar Florez</v>
          </cell>
        </row>
        <row r="108">
          <cell r="I108" t="str">
            <v>DISTRIBUCIONES EDSOVA S.A.S.GNC</v>
          </cell>
          <cell r="J108" t="str">
            <v>Lina del Mar Florez</v>
          </cell>
        </row>
        <row r="109">
          <cell r="I109" t="str">
            <v>Distribuidora de Motores y Movilidad Dimovil S.A.S.VANTI</v>
          </cell>
          <cell r="J109" t="str">
            <v>Juan Carlos Pinilla</v>
          </cell>
        </row>
        <row r="110">
          <cell r="I110" t="str">
            <v>Distribuidora Motocentro S.A.SVANTI</v>
          </cell>
          <cell r="J110" t="str">
            <v>Juan Carlos Pinilla</v>
          </cell>
        </row>
        <row r="111">
          <cell r="I111" t="str">
            <v>Distribuidora Motocentro S.A.SGNC</v>
          </cell>
          <cell r="J111" t="str">
            <v>Lina del Mar Florez</v>
          </cell>
        </row>
        <row r="112">
          <cell r="I112" t="str">
            <v>DISTRIBUIDORA RAYCO SASGNCB</v>
          </cell>
          <cell r="J112" t="str">
            <v>Lina del Mar Florez</v>
          </cell>
        </row>
        <row r="113">
          <cell r="I113" t="str">
            <v>DISTRIBUIDORA RAYCO SASGNC</v>
          </cell>
          <cell r="J113" t="str">
            <v>Lina del Mar Florez</v>
          </cell>
        </row>
        <row r="114">
          <cell r="I114" t="str">
            <v>DISTRIBUIDORA RAYCO SASVANTI</v>
          </cell>
          <cell r="J114" t="str">
            <v>Lina del Mar Florez</v>
          </cell>
        </row>
        <row r="115">
          <cell r="I115" t="str">
            <v>DISTRIBUIDORA REX S.A.S.VANTI</v>
          </cell>
          <cell r="J115" t="str">
            <v>Juan Carlos Pinilla</v>
          </cell>
        </row>
        <row r="116">
          <cell r="I116" t="str">
            <v>DISTRICERAMICAS BLAPER S.AVANTI</v>
          </cell>
          <cell r="J116" t="str">
            <v>Juan Carlos Pinilla</v>
          </cell>
        </row>
        <row r="117">
          <cell r="I117" t="str">
            <v>Districolmotos S.A.SVANTI</v>
          </cell>
          <cell r="J117" t="str">
            <v>Juan Carlos Pinilla</v>
          </cell>
        </row>
        <row r="118">
          <cell r="I118" t="str">
            <v>DISTRIFER S.A.S.VANTI</v>
          </cell>
          <cell r="J118" t="str">
            <v>Juan Carlos Pinilla</v>
          </cell>
        </row>
        <row r="119">
          <cell r="I119" t="str">
            <v>DISTRIFER S.A.S.GNC</v>
          </cell>
          <cell r="J119" t="str">
            <v>Lina del Mar Florez</v>
          </cell>
        </row>
        <row r="120">
          <cell r="I120" t="str">
            <v>DISTRIMOTOS DE COLOMBIA S.A.SVANTI</v>
          </cell>
          <cell r="J120" t="str">
            <v>Juan Carlos Pinilla</v>
          </cell>
        </row>
        <row r="121">
          <cell r="I121" t="str">
            <v>DISTRITODO VS S.A.SVANTI</v>
          </cell>
          <cell r="J121" t="str">
            <v>Juan Carlos Pinilla</v>
          </cell>
        </row>
        <row r="122">
          <cell r="I122" t="str">
            <v>DIVERXA S.A.SGNC</v>
          </cell>
          <cell r="J122" t="str">
            <v>Lina del Mar Florez</v>
          </cell>
        </row>
        <row r="123">
          <cell r="I123" t="str">
            <v>DYS CONSTRUCCIONES DE GAS SASVANTI</v>
          </cell>
          <cell r="J123" t="str">
            <v>Firma Instaladora</v>
          </cell>
        </row>
        <row r="124">
          <cell r="I124" t="str">
            <v>DYS CONSTRUCCIONES DE GAS SASGNCB</v>
          </cell>
          <cell r="J124" t="str">
            <v>Firma Instaladora</v>
          </cell>
        </row>
        <row r="125">
          <cell r="I125" t="str">
            <v>ECOMOTORES INTERNACIONAL S.A.SGNCB</v>
          </cell>
          <cell r="J125" t="str">
            <v>Lina del Mar Florez</v>
          </cell>
        </row>
        <row r="126">
          <cell r="I126" t="str">
            <v>ECOMOTORES INTERNACIONAL S.A.SVANTI</v>
          </cell>
          <cell r="J126" t="str">
            <v>Juan Carlos Pinilla</v>
          </cell>
        </row>
        <row r="127">
          <cell r="I127" t="str">
            <v>EL PINTOR PS DISTRIBUCIONES S.A.SGNCB</v>
          </cell>
          <cell r="J127" t="str">
            <v>Lina del Mar Florez</v>
          </cell>
        </row>
        <row r="128">
          <cell r="I128" t="str">
            <v>EL PINTOR PS DISTRIBUCIONES S.A.SVANTI</v>
          </cell>
          <cell r="J128" t="str">
            <v>Juan Carlos Pinilla</v>
          </cell>
        </row>
        <row r="129">
          <cell r="I129" t="str">
            <v>Electric World S.A.S.VANTI</v>
          </cell>
          <cell r="J129" t="str">
            <v>Juan Carlos Pinilla</v>
          </cell>
        </row>
        <row r="130">
          <cell r="I130" t="str">
            <v>ELECTRO AO S.A.SGNCB</v>
          </cell>
          <cell r="J130" t="str">
            <v>Lina del Mar Florez</v>
          </cell>
        </row>
        <row r="131">
          <cell r="I131" t="str">
            <v>ELECTRO AO S.A.SVANTI</v>
          </cell>
          <cell r="J131" t="str">
            <v>Juan Carlos Pinilla</v>
          </cell>
        </row>
        <row r="132">
          <cell r="I132" t="str">
            <v>ELECTRODOMESTICOS MILLER S.A.SGNCB</v>
          </cell>
          <cell r="J132" t="str">
            <v>Lina del Mar Florez</v>
          </cell>
        </row>
        <row r="133">
          <cell r="I133" t="str">
            <v>ELECTROFERIA DE LA CARRERA 13 SASGNCB</v>
          </cell>
          <cell r="J133" t="str">
            <v>Lina del Mar Florez</v>
          </cell>
        </row>
        <row r="134">
          <cell r="I134" t="str">
            <v>EUROPUNTO J.J. SASGNCB</v>
          </cell>
          <cell r="J134" t="str">
            <v>Lina del Mar Florez</v>
          </cell>
        </row>
        <row r="135">
          <cell r="I135" t="str">
            <v>EUROPUNTO J.J. SASGNC</v>
          </cell>
          <cell r="J135" t="str">
            <v>Lina del Mar Florez</v>
          </cell>
        </row>
        <row r="136">
          <cell r="I136" t="str">
            <v>EVOLUTION FITNESS CORPORATION S.A.SVANTI</v>
          </cell>
          <cell r="J136" t="str">
            <v>Juan Carlos Pinilla</v>
          </cell>
        </row>
        <row r="137">
          <cell r="I137" t="str">
            <v>FANTASIA ELECTRONICA S.A.SVANTI</v>
          </cell>
          <cell r="J137" t="str">
            <v>Janneth Torres Hernandez</v>
          </cell>
        </row>
        <row r="138">
          <cell r="I138" t="str">
            <v>FANTASIA ELECTRONICA S.A.SGNCB</v>
          </cell>
          <cell r="J138" t="str">
            <v>Lina del Mar Florez</v>
          </cell>
        </row>
        <row r="139">
          <cell r="I139" t="str">
            <v>FERAGAS LTDAGNCB</v>
          </cell>
          <cell r="J139" t="str">
            <v>GNV</v>
          </cell>
        </row>
        <row r="140">
          <cell r="I140" t="str">
            <v>FERAGAS LTDAVANTI</v>
          </cell>
          <cell r="J140" t="str">
            <v>GNV</v>
          </cell>
        </row>
        <row r="141">
          <cell r="I141" t="str">
            <v>FERRESERVICIOS JHUKEGAS/ SARA YINETH ORDOÑEZ PEÑUELAVANTI</v>
          </cell>
          <cell r="J141" t="str">
            <v>Firma Instaladora</v>
          </cell>
        </row>
        <row r="142">
          <cell r="I142" t="str">
            <v>FERRETERIA LUIS PENAGOS S.A.SVANTI</v>
          </cell>
          <cell r="J142" t="str">
            <v>Juan Carlos Pinilla</v>
          </cell>
        </row>
        <row r="143">
          <cell r="I143" t="str">
            <v>FERRICENTROS SASVANTI</v>
          </cell>
          <cell r="J143" t="str">
            <v>Juan Carlos Pinilla</v>
          </cell>
        </row>
        <row r="144">
          <cell r="I144" t="str">
            <v>FERRICENTROS SASGNCB</v>
          </cell>
          <cell r="J144" t="str">
            <v>Juan Carlos Pinilla</v>
          </cell>
        </row>
        <row r="145">
          <cell r="I145" t="str">
            <v>FRATELLI COLOMBIA SASVANTI</v>
          </cell>
          <cell r="J145" t="str">
            <v>Juan Carlos Pinilla</v>
          </cell>
        </row>
        <row r="146">
          <cell r="I146" t="str">
            <v>FRATELLI COLOMBIA SASGNCB</v>
          </cell>
          <cell r="J146" t="str">
            <v>Lina del Mar Florez</v>
          </cell>
        </row>
        <row r="147">
          <cell r="I147" t="str">
            <v>FRIO KING IMPORTACIONES Y DISTRIBUCIONES S.A.S.GNC</v>
          </cell>
          <cell r="J147" t="str">
            <v>Lina del Mar Florez</v>
          </cell>
        </row>
        <row r="148">
          <cell r="I148" t="str">
            <v>FUEL GAS SERVICE E.U.VANTI</v>
          </cell>
          <cell r="J148" t="str">
            <v>GNV</v>
          </cell>
        </row>
        <row r="149">
          <cell r="I149" t="str">
            <v>FULL HOME BC S.A.SVANTI</v>
          </cell>
          <cell r="J149" t="str">
            <v>Juan Carlos Pinilla</v>
          </cell>
        </row>
        <row r="150">
          <cell r="I150" t="str">
            <v>FUN SPOT S.A.SGNCB</v>
          </cell>
          <cell r="J150" t="str">
            <v>Lina del Mar Florez</v>
          </cell>
        </row>
        <row r="151">
          <cell r="I151" t="str">
            <v>FUN SPOT S.A.SVANTI</v>
          </cell>
          <cell r="J151" t="str">
            <v>Juan Carlos Pinilla</v>
          </cell>
        </row>
        <row r="152">
          <cell r="I152" t="str">
            <v>G. C. INGENIERIA HIDRAULICA Y GAS S.A.S.VANTI</v>
          </cell>
          <cell r="J152" t="str">
            <v>Firma Instaladora</v>
          </cell>
        </row>
        <row r="153">
          <cell r="I153" t="str">
            <v>G. C. INGENIERIA HIDRAULICA Y GAS S.A.S.GNCB</v>
          </cell>
          <cell r="J153" t="str">
            <v>Firma Instaladora</v>
          </cell>
        </row>
        <row r="154">
          <cell r="I154" t="str">
            <v>GAS INYECCION LTDAVANTI</v>
          </cell>
          <cell r="J154" t="str">
            <v>GNV</v>
          </cell>
        </row>
        <row r="155">
          <cell r="I155" t="str">
            <v>GAS INYECCION LTDAGNCB</v>
          </cell>
          <cell r="J155" t="str">
            <v>GNV</v>
          </cell>
        </row>
        <row r="156">
          <cell r="I156" t="str">
            <v>GAS PLANETS SASVANTI</v>
          </cell>
          <cell r="J156" t="str">
            <v>Firma Instaladora</v>
          </cell>
        </row>
        <row r="157">
          <cell r="I157" t="str">
            <v>GAS VIVIENDA LTDAVANTI</v>
          </cell>
          <cell r="J157" t="str">
            <v>Firma Instaladora</v>
          </cell>
        </row>
        <row r="158">
          <cell r="I158" t="str">
            <v>GBC Accesorios S.A.SVANTI</v>
          </cell>
          <cell r="J158" t="str">
            <v>Juan Carlos Pinilla</v>
          </cell>
        </row>
        <row r="159">
          <cell r="I159" t="str">
            <v>GELVER ANTONIO ORTEGA SANCHEZVANTI</v>
          </cell>
          <cell r="J159" t="str">
            <v>Juan Carlos Pinilla</v>
          </cell>
        </row>
        <row r="160">
          <cell r="I160" t="str">
            <v>GLOBAL DANACOR S.A.S GNCB</v>
          </cell>
          <cell r="J160" t="str">
            <v>Lina del Mar Florez</v>
          </cell>
        </row>
        <row r="161">
          <cell r="I161" t="str">
            <v>GLOBAL GASVANTI</v>
          </cell>
          <cell r="J161" t="str">
            <v>Firma Instaladora</v>
          </cell>
        </row>
        <row r="162">
          <cell r="I162" t="str">
            <v>GNP GRUPO NACIONAL DE PROYECTOS S A SVANTI</v>
          </cell>
          <cell r="J162" t="str">
            <v>Juan Carlos Pinilla</v>
          </cell>
        </row>
        <row r="163">
          <cell r="I163" t="str">
            <v>GNP GRUPO NACIONAL DE PROYECTOS S A SGNC</v>
          </cell>
          <cell r="J163" t="str">
            <v>Lina del Mar Florez</v>
          </cell>
        </row>
        <row r="164">
          <cell r="I164" t="str">
            <v>GOMENAL S.A.SVANTI</v>
          </cell>
          <cell r="J164" t="str">
            <v>Juan Carlos Pinilla</v>
          </cell>
        </row>
        <row r="165">
          <cell r="I165" t="str">
            <v>GOMENAL S.A.SGNCB</v>
          </cell>
          <cell r="J165" t="str">
            <v>Lina del Mar Florez</v>
          </cell>
        </row>
        <row r="166">
          <cell r="I166" t="str">
            <v>Gomez y Cia S.A.S.GNCB</v>
          </cell>
          <cell r="J166" t="str">
            <v>Lina del Mar Florez</v>
          </cell>
        </row>
        <row r="167">
          <cell r="I167" t="str">
            <v>GRUPO FERRETERO F.C. S.A.S.GNC</v>
          </cell>
          <cell r="J167" t="str">
            <v>Lina del Mar Florez</v>
          </cell>
        </row>
        <row r="168">
          <cell r="I168" t="str">
            <v>GRUPO KASAMIA S A SGNCB</v>
          </cell>
          <cell r="J168" t="str">
            <v>Lina del Mar Florez</v>
          </cell>
        </row>
        <row r="169">
          <cell r="I169" t="str">
            <v>GRUPO KASAMIA S A SVANTI</v>
          </cell>
          <cell r="J169" t="str">
            <v>Juan Carlos Pinilla</v>
          </cell>
        </row>
        <row r="170">
          <cell r="I170" t="str">
            <v>GRUPO MERPES S.A.SGNC</v>
          </cell>
          <cell r="J170" t="str">
            <v>Lina del Mar Florez</v>
          </cell>
        </row>
        <row r="171">
          <cell r="I171" t="str">
            <v>Grupo Supermotos S.A.S.GNC</v>
          </cell>
          <cell r="J171" t="str">
            <v>Lina del Mar Florez</v>
          </cell>
        </row>
        <row r="172">
          <cell r="I172" t="str">
            <v>Grupo UMA S.A.S.GNCB</v>
          </cell>
          <cell r="J172" t="str">
            <v>Lina del Mar Florez</v>
          </cell>
        </row>
        <row r="173">
          <cell r="I173" t="str">
            <v>Grupo UMA S.A.S.GNC</v>
          </cell>
          <cell r="J173" t="str">
            <v>Lina del Mar Florez</v>
          </cell>
        </row>
        <row r="174">
          <cell r="I174" t="str">
            <v>GRUPO VISUALIZZA S.A.SVANTI</v>
          </cell>
          <cell r="J174" t="str">
            <v>Juan Carlos Pinilla</v>
          </cell>
        </row>
        <row r="175">
          <cell r="I175" t="str">
            <v>Hannas Motos S.A.S.VANTI</v>
          </cell>
          <cell r="J175" t="str">
            <v>Juan Carlos Pinilla</v>
          </cell>
        </row>
        <row r="176">
          <cell r="I176" t="str">
            <v>Hannas Motos S.A.S.GNCB</v>
          </cell>
          <cell r="J176" t="str">
            <v>Lina del Mar Florez</v>
          </cell>
        </row>
        <row r="177">
          <cell r="I177" t="str">
            <v>HENRY ALEXANDER MARTINEZ HERNANDEZ - HENRYMOTOS2GNCB</v>
          </cell>
          <cell r="J177" t="str">
            <v>Lina del Mar Florez</v>
          </cell>
        </row>
        <row r="178">
          <cell r="I178" t="str">
            <v>HERNANDEZ NARANJO DORA EDITH / DH INGENIERIA DE GASGNCB</v>
          </cell>
          <cell r="J178" t="str">
            <v>Firma Instaladora</v>
          </cell>
        </row>
        <row r="179">
          <cell r="I179" t="str">
            <v>Higinio CamachoVANTI</v>
          </cell>
          <cell r="J179" t="str">
            <v>Juan Carlos Pinilla</v>
          </cell>
        </row>
        <row r="180">
          <cell r="I180" t="str">
            <v>Higinio CamachoGNC</v>
          </cell>
          <cell r="J180" t="str">
            <v>Lina del Mar Florez</v>
          </cell>
        </row>
        <row r="181">
          <cell r="I181" t="str">
            <v>Higinio CamachoGNCB</v>
          </cell>
          <cell r="J181" t="str">
            <v>Lina del Mar Florez</v>
          </cell>
        </row>
        <row r="182">
          <cell r="I182" t="str">
            <v>HMCL COLOMBIA S.A.S.GNC</v>
          </cell>
          <cell r="J182" t="str">
            <v>Lina del Mar Florez</v>
          </cell>
        </row>
        <row r="183">
          <cell r="I183" t="str">
            <v>HOGAR VENECIA MUEBLES S.A.S.GNCB</v>
          </cell>
          <cell r="J183" t="str">
            <v>Lina del Mar Florez</v>
          </cell>
        </row>
        <row r="184">
          <cell r="I184" t="str">
            <v>HOGAR VENECIA MUEBLES S.A.S.VANTI</v>
          </cell>
          <cell r="J184" t="str">
            <v>Juan Carlos Pinilla</v>
          </cell>
        </row>
        <row r="185">
          <cell r="I185" t="str">
            <v>Holding Motor Group S.A.S.GNCB</v>
          </cell>
          <cell r="J185" t="str">
            <v>Lina del Mar Florez</v>
          </cell>
        </row>
        <row r="186">
          <cell r="I186" t="str">
            <v>HOME STYLE EUROPA S.A.SVANTI</v>
          </cell>
          <cell r="J186" t="str">
            <v>Juan Carlos Pinilla</v>
          </cell>
        </row>
        <row r="187">
          <cell r="I187" t="str">
            <v>HOME STYLE EUROPA S.A.SGNCB</v>
          </cell>
          <cell r="J187" t="str">
            <v>Lina del Mar Florez</v>
          </cell>
        </row>
        <row r="188">
          <cell r="I188" t="str">
            <v>IMPORTACIONES NISUTA S.A.SGNCB</v>
          </cell>
          <cell r="J188" t="str">
            <v>Lina del Mar Florez</v>
          </cell>
        </row>
        <row r="189">
          <cell r="I189" t="str">
            <v>IMPORTACIONES NISUTA S.A.SVANTI</v>
          </cell>
          <cell r="J189" t="str">
            <v>Juan Carlos Pinilla</v>
          </cell>
        </row>
        <row r="190">
          <cell r="I190" t="str">
            <v>INDUSTRIAS HACEB S.AVANTI</v>
          </cell>
          <cell r="J190" t="str">
            <v>Seller</v>
          </cell>
        </row>
        <row r="191">
          <cell r="I191" t="str">
            <v>INDUSTRIAS HACEB S.AGNCB</v>
          </cell>
          <cell r="J191" t="str">
            <v>Seller</v>
          </cell>
        </row>
        <row r="192">
          <cell r="I192" t="str">
            <v>INDUSTRIAS HACEB S.AGNC</v>
          </cell>
          <cell r="J192" t="str">
            <v>Seller</v>
          </cell>
        </row>
        <row r="193">
          <cell r="I193" t="str">
            <v>INDUSTRIAS SPRING SASGNCB</v>
          </cell>
          <cell r="J193" t="str">
            <v>Lina del Mar Florez</v>
          </cell>
        </row>
        <row r="194">
          <cell r="I194" t="str">
            <v>INDUSTRIAS SPRING SASVANTI</v>
          </cell>
          <cell r="J194" t="str">
            <v>Juan Carlos Pinilla</v>
          </cell>
        </row>
        <row r="195">
          <cell r="I195" t="str">
            <v>INDUSTRIAS VIANCO LTDAVANTI</v>
          </cell>
          <cell r="J195" t="str">
            <v>Firma Instaladora</v>
          </cell>
        </row>
        <row r="196">
          <cell r="I196" t="str">
            <v>INDUSTRIAS VIANCO LTDAGNCB</v>
          </cell>
          <cell r="J196" t="str">
            <v>Firma Instaladora</v>
          </cell>
        </row>
        <row r="197">
          <cell r="I197" t="str">
            <v>INGEOSERVICIOS ANDI SASVANTI</v>
          </cell>
          <cell r="J197" t="str">
            <v>Firma Instaladora</v>
          </cell>
        </row>
        <row r="198">
          <cell r="I198" t="str">
            <v>Innovation Motos NG S.A.S.GNC</v>
          </cell>
          <cell r="J198" t="str">
            <v>Lina del Mar Florez</v>
          </cell>
        </row>
        <row r="199">
          <cell r="I199" t="str">
            <v>Innovation Motos NG S.A.S.VANTI</v>
          </cell>
          <cell r="J199" t="str">
            <v>Juan Carlos Pinilla</v>
          </cell>
        </row>
        <row r="200">
          <cell r="I200" t="str">
            <v>Innovation Motos NG S.A.S.GNCB</v>
          </cell>
          <cell r="J200" t="str">
            <v>Lina del Mar Florez</v>
          </cell>
        </row>
        <row r="201">
          <cell r="I201" t="str">
            <v>INSTARGAS N L V S A SVANTI</v>
          </cell>
          <cell r="J201" t="str">
            <v>Firma Instaladora</v>
          </cell>
        </row>
        <row r="202">
          <cell r="I202" t="str">
            <v>INSTARGAS N L V S A SGNCB</v>
          </cell>
          <cell r="J202" t="str">
            <v>Firma Instaladora</v>
          </cell>
        </row>
        <row r="203">
          <cell r="I203" t="str">
            <v>INVERSIONES ARENAS SERRANO S.A.S.VANTI</v>
          </cell>
          <cell r="J203" t="str">
            <v>Juan Carlos Pinilla</v>
          </cell>
        </row>
        <row r="204">
          <cell r="I204" t="str">
            <v>Inversiones Bejarano del Valle S.A.S.VANTI</v>
          </cell>
          <cell r="J204" t="str">
            <v>Juan Carlos Pinilla</v>
          </cell>
        </row>
        <row r="205">
          <cell r="I205" t="str">
            <v>Inversiones Bejarano del Valle S.A.S.GNCB</v>
          </cell>
          <cell r="J205" t="str">
            <v>Lina del Mar Florez</v>
          </cell>
        </row>
        <row r="206">
          <cell r="I206" t="str">
            <v>INVERSIONES CAMILO ROJAS SASVANTI</v>
          </cell>
          <cell r="J206" t="str">
            <v>Juan Carlos Pinilla</v>
          </cell>
        </row>
        <row r="207">
          <cell r="I207" t="str">
            <v>MAS MOTOS MAS REPUESTOSGNCB</v>
          </cell>
          <cell r="J207" t="str">
            <v>Lina del Mar Florez</v>
          </cell>
        </row>
        <row r="208">
          <cell r="I208" t="str">
            <v>INVERSIONES GUTIERREZ HERNANDEZVANTI</v>
          </cell>
          <cell r="J208" t="str">
            <v>Juan Carlos Pinilla</v>
          </cell>
        </row>
        <row r="209">
          <cell r="I209" t="str">
            <v>INVERSIONES HDPO SASGNCB</v>
          </cell>
          <cell r="J209" t="str">
            <v>Lina del Mar Florez</v>
          </cell>
        </row>
        <row r="210">
          <cell r="I210" t="str">
            <v>INVERSIONES HDPO SASVANTI</v>
          </cell>
          <cell r="J210" t="str">
            <v>Juan Carlos Pinilla</v>
          </cell>
        </row>
        <row r="211">
          <cell r="I211" t="str">
            <v>INVERSIONES INNOVAR DE COLOMBIA SAGNCB</v>
          </cell>
          <cell r="J211" t="str">
            <v>Lina del Mar Florez</v>
          </cell>
        </row>
        <row r="212">
          <cell r="I212" t="str">
            <v>INVERSIONES LOGUZ SAS VANTI</v>
          </cell>
          <cell r="J212" t="str">
            <v>Juan Carlos Pinilla</v>
          </cell>
        </row>
        <row r="213">
          <cell r="I213" t="str">
            <v>INVERSIONES LOGUZ SAS GNCB</v>
          </cell>
          <cell r="J213" t="str">
            <v>Lina del Mar Florez</v>
          </cell>
        </row>
        <row r="214">
          <cell r="I214" t="str">
            <v>INVERSIONES MOTOFUTURO S.A.SVANTI</v>
          </cell>
          <cell r="J214" t="str">
            <v>Juan Carlos Pinilla</v>
          </cell>
        </row>
        <row r="215">
          <cell r="I215" t="str">
            <v>INVERSIONES MOTOFUTURO S.A.SGNCB</v>
          </cell>
          <cell r="J215" t="str">
            <v>Lina del Mar Florez</v>
          </cell>
        </row>
        <row r="216">
          <cell r="I216" t="str">
            <v>INVERSIONES VARGAS &amp; GAFARO S.A.SGNC</v>
          </cell>
          <cell r="J216" t="str">
            <v>Lina del Mar Florez</v>
          </cell>
        </row>
        <row r="217">
          <cell r="I217" t="str">
            <v>INVERSIONES VILLARAIRAN SASVANTI</v>
          </cell>
          <cell r="J217" t="str">
            <v>Juan Carlos Pinilla</v>
          </cell>
        </row>
        <row r="218">
          <cell r="I218" t="str">
            <v>INVESAKK SASGNCB</v>
          </cell>
          <cell r="J218" t="str">
            <v>Lina del Mar Florez</v>
          </cell>
        </row>
        <row r="219">
          <cell r="I219" t="str">
            <v>INVESAKK SASVANTI</v>
          </cell>
          <cell r="J219" t="str">
            <v>Juan Carlos Pinilla</v>
          </cell>
        </row>
        <row r="220">
          <cell r="I220" t="str">
            <v>INVESAKK SASGNC</v>
          </cell>
          <cell r="J220" t="str">
            <v>Lina del Mar Florez</v>
          </cell>
        </row>
        <row r="221">
          <cell r="I221" t="str">
            <v>Ionic Motors S.A.S.VANTI</v>
          </cell>
          <cell r="J221" t="str">
            <v>Juan Carlos Pinilla</v>
          </cell>
        </row>
        <row r="222">
          <cell r="I222" t="str">
            <v>Ivan Botero Gomez S.A.GNCB</v>
          </cell>
          <cell r="J222" t="str">
            <v>Lina del Mar Florez</v>
          </cell>
        </row>
        <row r="223">
          <cell r="I223" t="str">
            <v>Ivan Botero Gomez S.A.GNC</v>
          </cell>
          <cell r="J223" t="str">
            <v>Lina del Mar Florez</v>
          </cell>
        </row>
        <row r="224">
          <cell r="I224" t="str">
            <v>Ivan Botero Gomez S.A.VANTI</v>
          </cell>
          <cell r="J224" t="str">
            <v>Juan Carlos Pinilla</v>
          </cell>
        </row>
        <row r="225">
          <cell r="I225" t="str">
            <v>JHONATHAN FABIAN CASTRO OLMOSVANTI</v>
          </cell>
          <cell r="J225" t="str">
            <v>Juan Carlos Pinilla</v>
          </cell>
        </row>
        <row r="226">
          <cell r="I226" t="str">
            <v>JORGE ARMANDO MATEUS MATEUSGNCB</v>
          </cell>
          <cell r="J226" t="str">
            <v>Lina del Mar Florez</v>
          </cell>
        </row>
        <row r="227">
          <cell r="I227" t="str">
            <v>JULIGAS INGENIERIA SASVANTI</v>
          </cell>
          <cell r="J227" t="str">
            <v>Firma Instaladora</v>
          </cell>
        </row>
        <row r="228">
          <cell r="I228" t="str">
            <v>LIDA FERNANDA CORTES TOROVANTI</v>
          </cell>
          <cell r="J228" t="str">
            <v>Juan Carlos Pinilla</v>
          </cell>
        </row>
        <row r="229">
          <cell r="I229" t="str">
            <v>LLAMA GAS DE LA SABANA SASGNCB</v>
          </cell>
          <cell r="J229" t="str">
            <v>Firma Instaladora</v>
          </cell>
        </row>
        <row r="230">
          <cell r="I230" t="str">
            <v>LLAMA GAS DE LA SABANA SASVANTI</v>
          </cell>
          <cell r="J230" t="str">
            <v>Firma Instaladora</v>
          </cell>
        </row>
        <row r="231">
          <cell r="I231" t="str">
            <v>Lobi Car S.A.S.GNCB</v>
          </cell>
          <cell r="J231" t="str">
            <v>Lina del Mar Florez</v>
          </cell>
        </row>
        <row r="232">
          <cell r="I232" t="str">
            <v>LUCCY MARINA RODRIGUEZ GARCIAGNC</v>
          </cell>
          <cell r="J232" t="str">
            <v>Lina del Mar Florez</v>
          </cell>
        </row>
        <row r="233">
          <cell r="I233" t="str">
            <v>LUIS NAPOLEON CALDERON MENDOZAVANTI</v>
          </cell>
          <cell r="J233" t="str">
            <v>Juan Carlos Pinilla</v>
          </cell>
        </row>
        <row r="234">
          <cell r="I234" t="str">
            <v>M&amp;F SUPER GAS SASGNC</v>
          </cell>
          <cell r="J234" t="str">
            <v>Lina del Mar Florez</v>
          </cell>
        </row>
        <row r="235">
          <cell r="I235" t="str">
            <v>Macro Motos Golden S.A.S.GNCB</v>
          </cell>
          <cell r="J235" t="str">
            <v>Lina del Mar Florez</v>
          </cell>
        </row>
        <row r="236">
          <cell r="I236" t="str">
            <v>Maria Fernanda Lopez RamirezVANTI</v>
          </cell>
          <cell r="J236" t="str">
            <v>Juan Carlos Pinilla</v>
          </cell>
        </row>
        <row r="237">
          <cell r="I237" t="str">
            <v>Maria Fernanda Lopez RamirezGNCB</v>
          </cell>
          <cell r="J237" t="str">
            <v>Lina del Mar Florez</v>
          </cell>
        </row>
        <row r="238">
          <cell r="I238" t="str">
            <v>MAS QUE MOTOS SASVANTI</v>
          </cell>
          <cell r="J238" t="str">
            <v>Juan Carlos Pinilla</v>
          </cell>
        </row>
        <row r="239">
          <cell r="I239" t="str">
            <v>Masda S.A.S.GNCB</v>
          </cell>
          <cell r="J239" t="str">
            <v>Lina del Mar Florez</v>
          </cell>
        </row>
        <row r="240">
          <cell r="I240" t="str">
            <v>Masda S.A.S.GNC</v>
          </cell>
          <cell r="J240" t="str">
            <v>Lina del Mar Florez</v>
          </cell>
        </row>
        <row r="241">
          <cell r="I241" t="str">
            <v>MASERVINOX SAS MANTENIMIENTO SERVICIOS INOXIDABLEVANTI</v>
          </cell>
          <cell r="J241" t="str">
            <v>Lina del Mar Florez</v>
          </cell>
        </row>
        <row r="242">
          <cell r="I242" t="str">
            <v>MAT MOTOS DISTRIBUIDOR HERO SASGNCB</v>
          </cell>
          <cell r="J242" t="str">
            <v>Lina del Mar Florez</v>
          </cell>
        </row>
        <row r="243">
          <cell r="I243" t="str">
            <v>MAT MOTOS DISTRIBUIDOR HERO SASVANTI</v>
          </cell>
          <cell r="J243" t="str">
            <v>Juan Carlos Pinilla</v>
          </cell>
        </row>
        <row r="244">
          <cell r="I244" t="str">
            <v>MATERIALES COLOMBIA SAS EN REORGANIZACIÓNGNC</v>
          </cell>
          <cell r="J244" t="str">
            <v>Lina del Mar Florez</v>
          </cell>
        </row>
        <row r="245">
          <cell r="I245" t="str">
            <v>MATERIALES EMO SASGNCB</v>
          </cell>
          <cell r="J245" t="str">
            <v>Lina del Mar Florez</v>
          </cell>
        </row>
        <row r="246">
          <cell r="I246" t="str">
            <v>MAXICASSA SASGNC</v>
          </cell>
          <cell r="J246" t="str">
            <v>Lina del Mar Florez</v>
          </cell>
        </row>
        <row r="247">
          <cell r="I247" t="str">
            <v>MAXIMUEBLES JC SASGNC</v>
          </cell>
          <cell r="J247" t="str">
            <v>Lina del Mar Florez</v>
          </cell>
        </row>
        <row r="248">
          <cell r="I248" t="str">
            <v>MAXIMUEBLES JC SASVANTI</v>
          </cell>
          <cell r="J248" t="str">
            <v>Juan Carlos Pinilla</v>
          </cell>
        </row>
        <row r="249">
          <cell r="I249" t="str">
            <v>Mercamotos Santander SASGNC</v>
          </cell>
          <cell r="J249" t="str">
            <v>Lina del Mar Florez</v>
          </cell>
        </row>
        <row r="250">
          <cell r="I250" t="str">
            <v>Mercamotos Santander SASVANTI</v>
          </cell>
          <cell r="J250" t="str">
            <v>Juan Carlos Pinilla</v>
          </cell>
        </row>
        <row r="251">
          <cell r="I251" t="str">
            <v>MERVICOL SASVANTI</v>
          </cell>
          <cell r="J251" t="str">
            <v>Firma Instaladora</v>
          </cell>
        </row>
        <row r="252">
          <cell r="I252" t="str">
            <v>METRO CYCLES S.A.S.VANTI</v>
          </cell>
          <cell r="J252" t="str">
            <v>Juan Carlos Pinilla</v>
          </cell>
        </row>
        <row r="253">
          <cell r="I253" t="str">
            <v>Moto Auto Store S.A.S.GNCB</v>
          </cell>
          <cell r="J253" t="str">
            <v>Lina del Mar Florez</v>
          </cell>
        </row>
        <row r="254">
          <cell r="I254" t="str">
            <v>MOTO CUBICO S.A.SGNC</v>
          </cell>
          <cell r="J254" t="str">
            <v>Lina del Mar Florez</v>
          </cell>
        </row>
        <row r="255">
          <cell r="I255" t="str">
            <v>Moto Market Group S.A.S.GNCB</v>
          </cell>
          <cell r="J255" t="str">
            <v>Lina del Mar Florez</v>
          </cell>
        </row>
        <row r="256">
          <cell r="I256" t="str">
            <v>Moto News S.A.S.VANTI</v>
          </cell>
          <cell r="J256" t="str">
            <v>Juan Carlos Pinilla</v>
          </cell>
        </row>
        <row r="257">
          <cell r="I257" t="str">
            <v>Moto News S.A.S.GNCB</v>
          </cell>
          <cell r="J257" t="str">
            <v>Juan Carlos Pinilla</v>
          </cell>
        </row>
        <row r="258">
          <cell r="I258" t="str">
            <v>Moto Services S.A.S.VANTI</v>
          </cell>
          <cell r="J258" t="str">
            <v>Juan Carlos Pinilla</v>
          </cell>
        </row>
        <row r="259">
          <cell r="I259" t="str">
            <v>Moto Services S.A.S.GNCB</v>
          </cell>
          <cell r="J259" t="str">
            <v>Lina del Mar Florez</v>
          </cell>
        </row>
        <row r="260">
          <cell r="I260" t="str">
            <v>Moto Xtreme Hero S.A.S.VANTI</v>
          </cell>
          <cell r="J260" t="str">
            <v>Juan Carlos Pinilla</v>
          </cell>
        </row>
        <row r="261">
          <cell r="I261" t="str">
            <v>Motonipon S.A.S.VANTI</v>
          </cell>
          <cell r="J261" t="str">
            <v>Juan Carlos Pinilla</v>
          </cell>
        </row>
        <row r="262">
          <cell r="I262" t="str">
            <v>Motonipon S.A.S.GNCB</v>
          </cell>
          <cell r="J262" t="str">
            <v>Lina del Mar Florez</v>
          </cell>
        </row>
        <row r="263">
          <cell r="I263" t="str">
            <v>MOTOR GAS DE COLOMBIAVANTI</v>
          </cell>
          <cell r="J263" t="str">
            <v>GNV</v>
          </cell>
        </row>
        <row r="264">
          <cell r="I264" t="str">
            <v>MOTOR UNO S.A.S.VANTI</v>
          </cell>
          <cell r="J264" t="str">
            <v>Juan Carlos Pinilla</v>
          </cell>
        </row>
        <row r="265">
          <cell r="I265" t="str">
            <v>MOTORACING DE COLOMBIA S.A.S.VANTI</v>
          </cell>
          <cell r="J265" t="str">
            <v>Juan Carlos Pinilla</v>
          </cell>
        </row>
        <row r="266">
          <cell r="I266" t="str">
            <v>Motorcycle Land S.A.S.GNCB</v>
          </cell>
          <cell r="J266" t="str">
            <v>Lina del Mar Florez</v>
          </cell>
        </row>
        <row r="267">
          <cell r="I267" t="str">
            <v>Motorcycle Land S.A.S.VANTI</v>
          </cell>
          <cell r="J267" t="str">
            <v>Juan Carlos Pinilla</v>
          </cell>
        </row>
        <row r="268">
          <cell r="I268" t="str">
            <v>Motorcycle Markets S.A.S.GNCB</v>
          </cell>
          <cell r="J268" t="str">
            <v>Lina del Mar Florez</v>
          </cell>
        </row>
        <row r="269">
          <cell r="I269" t="str">
            <v>Motorcycle Markets S.A.S.VANTI</v>
          </cell>
          <cell r="J269" t="str">
            <v>Juan Carlos Pinilla</v>
          </cell>
        </row>
        <row r="270">
          <cell r="I270" t="str">
            <v>Motored de Colombia S.A.S.GNC</v>
          </cell>
          <cell r="J270" t="str">
            <v>Lina del Mar Florez</v>
          </cell>
        </row>
        <row r="271">
          <cell r="I271" t="str">
            <v>Motored de Colombia S.A.S.GNCB</v>
          </cell>
          <cell r="J271" t="str">
            <v>Lina del Mar Florez</v>
          </cell>
        </row>
        <row r="272">
          <cell r="I272" t="str">
            <v>MOTORIENTE BUCARAMANGA LTDA.GNC</v>
          </cell>
          <cell r="J272" t="str">
            <v>Lina del Mar Florez</v>
          </cell>
        </row>
        <row r="273">
          <cell r="I273" t="str">
            <v>MOTORIENTE BUCARAMANGA LTDA.VANTI</v>
          </cell>
          <cell r="J273" t="str">
            <v>Juan Carlos Pinilla</v>
          </cell>
        </row>
        <row r="274">
          <cell r="I274" t="str">
            <v>MOTORIENTE BUCARAMANGA LTDA.GNCB</v>
          </cell>
          <cell r="J274" t="str">
            <v>Lina del Mar Florez</v>
          </cell>
        </row>
        <row r="275">
          <cell r="I275" t="str">
            <v>MOTOS ACOSTA S.A.S.VANTI</v>
          </cell>
          <cell r="J275" t="str">
            <v>Juan Carlos Pinilla</v>
          </cell>
        </row>
        <row r="276">
          <cell r="I276" t="str">
            <v>Motos Cundinamarca S.A.S.VANTI</v>
          </cell>
          <cell r="J276" t="str">
            <v>Juan Carlos Pinilla</v>
          </cell>
        </row>
        <row r="277">
          <cell r="I277" t="str">
            <v>MOTOS DE LA BOYACA SASGNCB</v>
          </cell>
          <cell r="J277" t="str">
            <v>Lina del Mar Florez</v>
          </cell>
        </row>
        <row r="278">
          <cell r="I278" t="str">
            <v>Motos del Camino S.A.S.GNCB</v>
          </cell>
          <cell r="J278" t="str">
            <v>Lina del Mar Florez</v>
          </cell>
        </row>
        <row r="279">
          <cell r="I279" t="str">
            <v>MOTOS DEL SUR BOGOTA SASGNCB</v>
          </cell>
          <cell r="J279" t="str">
            <v>Lina del Mar Florez</v>
          </cell>
        </row>
        <row r="280">
          <cell r="I280" t="str">
            <v>Motos del Tropico S.A.S.GNCB</v>
          </cell>
          <cell r="J280" t="str">
            <v>Lina del Mar Florez</v>
          </cell>
        </row>
        <row r="281">
          <cell r="I281" t="str">
            <v>Motos Macrostore S.A.S.GNCB</v>
          </cell>
          <cell r="J281" t="str">
            <v>Lina del Mar Florez</v>
          </cell>
        </row>
        <row r="282">
          <cell r="I282" t="str">
            <v>Motos Macrostore S.A.S.VANTI</v>
          </cell>
          <cell r="J282" t="str">
            <v>Juan Carlos Pinilla</v>
          </cell>
        </row>
        <row r="283">
          <cell r="I283" t="str">
            <v>Motos Naked S.A.S.GNCB</v>
          </cell>
          <cell r="J283" t="str">
            <v>Lina del Mar Florez</v>
          </cell>
        </row>
        <row r="284">
          <cell r="I284" t="str">
            <v>Motos Naked S.A.S.GNC</v>
          </cell>
          <cell r="J284" t="str">
            <v>Lina del Mar Florez</v>
          </cell>
        </row>
        <row r="285">
          <cell r="I285" t="str">
            <v>MOTOS PRISMA SASGNCB</v>
          </cell>
          <cell r="J285" t="str">
            <v>Lina del Mar Florez</v>
          </cell>
        </row>
        <row r="286">
          <cell r="I286" t="str">
            <v>MOTOS PRISMA SASVANTI</v>
          </cell>
          <cell r="J286" t="str">
            <v>Juan Carlos Pinilla</v>
          </cell>
        </row>
        <row r="287">
          <cell r="I287" t="str">
            <v>Motos y MotosGNC</v>
          </cell>
          <cell r="J287" t="str">
            <v>Lina del Mar Florez</v>
          </cell>
        </row>
        <row r="288">
          <cell r="I288" t="str">
            <v>MOTOS Y REPUESTOS LA PRINCIPAL S.A.S.VANTI</v>
          </cell>
          <cell r="J288" t="str">
            <v>Juan Carlos Pinilla</v>
          </cell>
        </row>
        <row r="289">
          <cell r="I289" t="str">
            <v>Motoselva Motocicletas S.A.S.GNCB</v>
          </cell>
          <cell r="J289" t="str">
            <v>Lina del Mar Florez</v>
          </cell>
        </row>
        <row r="290">
          <cell r="I290" t="str">
            <v>MOTOZONA SASVANTI</v>
          </cell>
          <cell r="J290" t="str">
            <v>Juan Carlos Pinilla</v>
          </cell>
        </row>
        <row r="291">
          <cell r="I291" t="str">
            <v>Movilidad Electrica Canaan S.A.S.VANTI</v>
          </cell>
          <cell r="J291" t="str">
            <v>Juan Carlos Pinilla</v>
          </cell>
        </row>
        <row r="292">
          <cell r="I292" t="str">
            <v>Movilidad en Línea S.A.S.GNCB</v>
          </cell>
          <cell r="J292" t="str">
            <v>Lina del Mar Florez</v>
          </cell>
        </row>
        <row r="293">
          <cell r="I293" t="str">
            <v>Movilidad en Línea S.A.S.VANTI</v>
          </cell>
          <cell r="J293" t="str">
            <v>Juan Carlos Pinilla</v>
          </cell>
        </row>
        <row r="294">
          <cell r="I294" t="str">
            <v>MOVIMOTOR S.A.S.VANTI</v>
          </cell>
          <cell r="J294" t="str">
            <v>Juan Carlos Pinilla</v>
          </cell>
        </row>
        <row r="295">
          <cell r="I295" t="str">
            <v>MUEBLES JAMAR S. A.VANTI</v>
          </cell>
          <cell r="J295" t="str">
            <v>Juan Carlos Pinilla</v>
          </cell>
        </row>
        <row r="296">
          <cell r="I296" t="str">
            <v>MUEBLES JAMAR S. A.GNCB</v>
          </cell>
          <cell r="J296" t="str">
            <v>Juan Carlos Pinilla</v>
          </cell>
        </row>
        <row r="297">
          <cell r="I297" t="str">
            <v>Multintegral SASGNC</v>
          </cell>
          <cell r="J297" t="str">
            <v>Lina del Mar Florez</v>
          </cell>
        </row>
        <row r="298">
          <cell r="I298" t="str">
            <v>Mundo Cross Bogotá S.A.S.GNCB</v>
          </cell>
          <cell r="J298" t="str">
            <v>Lina del Mar Florez</v>
          </cell>
        </row>
        <row r="299">
          <cell r="I299" t="str">
            <v>MUNDO CROSS LTDAGNC</v>
          </cell>
          <cell r="J299" t="str">
            <v>Lina del Mar Florez</v>
          </cell>
        </row>
        <row r="300">
          <cell r="I300" t="str">
            <v>MUNDO CROSS LTDAGNCB</v>
          </cell>
          <cell r="J300" t="str">
            <v>Lina del Mar Florez</v>
          </cell>
        </row>
        <row r="301">
          <cell r="I301" t="str">
            <v>MUNDO CROSS LTDAVANTI</v>
          </cell>
          <cell r="J301" t="str">
            <v>Juan Carlos Pinilla</v>
          </cell>
        </row>
        <row r="302">
          <cell r="I302" t="str">
            <v>Mundo de La Movilidad S.A.S.GNCB</v>
          </cell>
          <cell r="J302" t="str">
            <v>Lina del Mar Florez</v>
          </cell>
        </row>
        <row r="303">
          <cell r="I303" t="str">
            <v>N Y M CONSTRUCCIONESGNCB</v>
          </cell>
          <cell r="J303" t="str">
            <v>Firma Instaladora</v>
          </cell>
        </row>
        <row r="304">
          <cell r="I304" t="str">
            <v>NECHI MOTOS S.A.S.VANTI</v>
          </cell>
          <cell r="J304" t="str">
            <v>Juan Carlos Pinilla</v>
          </cell>
        </row>
        <row r="305">
          <cell r="I305" t="str">
            <v>OLIMPICA S.A.GNCB</v>
          </cell>
          <cell r="J305" t="str">
            <v>Lina del Mar Florez</v>
          </cell>
        </row>
        <row r="306">
          <cell r="I306" t="str">
            <v>Orlando Donado &amp; Compañía S.A.S.GNC</v>
          </cell>
          <cell r="J306" t="str">
            <v>Lina del Mar Florez</v>
          </cell>
        </row>
        <row r="307">
          <cell r="I307" t="str">
            <v>PEGO &amp; ASOCIADOS S A SGNC</v>
          </cell>
          <cell r="J307" t="str">
            <v>Lina del Mar Florez</v>
          </cell>
        </row>
        <row r="308">
          <cell r="I308" t="str">
            <v>PEGO &amp; ASOCIADOS S A SVANTI</v>
          </cell>
          <cell r="J308" t="str">
            <v>Juan Carlos Pinilla</v>
          </cell>
        </row>
        <row r="309">
          <cell r="I309" t="str">
            <v>PINTURAS DURO COLORVANTI</v>
          </cell>
          <cell r="J309" t="str">
            <v>Juan Carlos Pinilla</v>
          </cell>
        </row>
        <row r="310">
          <cell r="I310" t="str">
            <v>PISOS Y ENCHAPES EUROCARIBE S.A.S.GNCB</v>
          </cell>
          <cell r="J310" t="str">
            <v>Lina del Mar Florez</v>
          </cell>
        </row>
        <row r="311">
          <cell r="I311" t="str">
            <v>PISOS Y ENCHAPES RYL SASGNC</v>
          </cell>
          <cell r="J311" t="str">
            <v>Lina del Mar Florez</v>
          </cell>
        </row>
        <row r="312">
          <cell r="I312" t="str">
            <v>PISOS Y ENCHAPES RYL SASVANTI</v>
          </cell>
          <cell r="J312" t="str">
            <v>Juan Carlos Pinilla</v>
          </cell>
        </row>
        <row r="313">
          <cell r="I313" t="str">
            <v>PISOS Y ENCHAPES RYL SASGNCB</v>
          </cell>
          <cell r="J313" t="str">
            <v>Lina del Mar Florez</v>
          </cell>
        </row>
        <row r="314">
          <cell r="I314" t="str">
            <v>Planeta Motos S.A.S.GNCB</v>
          </cell>
          <cell r="J314" t="str">
            <v>Lina del Mar Florez</v>
          </cell>
        </row>
        <row r="315">
          <cell r="I315" t="str">
            <v>PULL UP S.A.SVANTI</v>
          </cell>
          <cell r="J315" t="str">
            <v>Juan Carlos Pinilla</v>
          </cell>
        </row>
        <row r="316">
          <cell r="I316" t="str">
            <v>PUNTO CENTER S.A.SVANTI</v>
          </cell>
          <cell r="J316" t="str">
            <v>Juan Carlos Pinilla</v>
          </cell>
        </row>
        <row r="317">
          <cell r="I317" t="str">
            <v>Que Moto S.A.S.GNCB</v>
          </cell>
          <cell r="J317" t="str">
            <v>Lina del Mar Florez</v>
          </cell>
        </row>
        <row r="318">
          <cell r="I318" t="str">
            <v>REVESTIMIENTO CERAMICO DE LA SABANA S.A.S.GNCB</v>
          </cell>
          <cell r="J318" t="str">
            <v>Lina del Mar Florez</v>
          </cell>
        </row>
        <row r="319">
          <cell r="I319" t="str">
            <v>REVESTIMIENTO CERAMICO DE LA SABANA S.A.S.VANTI</v>
          </cell>
          <cell r="J319" t="str">
            <v>Juan Carlos Pinilla</v>
          </cell>
        </row>
        <row r="320">
          <cell r="I320" t="str">
            <v>RHEEM COLOMBIA S.A.S.GNCB</v>
          </cell>
          <cell r="J320" t="str">
            <v>Seller</v>
          </cell>
        </row>
        <row r="321">
          <cell r="I321" t="str">
            <v>RHEEM COLOMBIA S.A.S.VANTI</v>
          </cell>
          <cell r="J321" t="str">
            <v>Seller</v>
          </cell>
        </row>
        <row r="322">
          <cell r="I322" t="str">
            <v>ROBERT BOSCH LTDAVANTI</v>
          </cell>
          <cell r="J322" t="str">
            <v>Seller</v>
          </cell>
        </row>
        <row r="323">
          <cell r="I323" t="str">
            <v>ROBERT BOSCH LTDAGNCB</v>
          </cell>
          <cell r="J323" t="str">
            <v>Seller</v>
          </cell>
        </row>
        <row r="324">
          <cell r="I324" t="str">
            <v>RODDOS S.A.S.VANTI</v>
          </cell>
          <cell r="J324" t="str">
            <v>Juan Carlos Pinilla</v>
          </cell>
        </row>
        <row r="325">
          <cell r="I325" t="str">
            <v>RODDOS S.A.S.GNCB</v>
          </cell>
          <cell r="J325" t="str">
            <v>Lina del Mar Florez</v>
          </cell>
        </row>
        <row r="326">
          <cell r="I326" t="str">
            <v>ROMEGASVANTI</v>
          </cell>
          <cell r="J326" t="str">
            <v>Firma Instaladora</v>
          </cell>
        </row>
        <row r="327">
          <cell r="I327" t="str">
            <v>ROMEGASGNCB</v>
          </cell>
          <cell r="J327" t="str">
            <v>Firma Instaladora</v>
          </cell>
        </row>
        <row r="328">
          <cell r="I328" t="str">
            <v>Ruiz Yerena Jaime EnriqueVANTI</v>
          </cell>
          <cell r="J328" t="str">
            <v>Juan Carlos Pinilla</v>
          </cell>
        </row>
        <row r="329">
          <cell r="I329" t="str">
            <v>SAB INVERSIONES SASVANTI</v>
          </cell>
          <cell r="J329" t="str">
            <v>GNV</v>
          </cell>
        </row>
        <row r="330">
          <cell r="I330" t="str">
            <v>SAB INVERSIONES SASGNCB</v>
          </cell>
          <cell r="J330" t="str">
            <v>GNV</v>
          </cell>
        </row>
        <row r="331">
          <cell r="I331" t="str">
            <v>SABANA MOTOS DE COLOMBIA S.A.S.GNCB</v>
          </cell>
          <cell r="J331" t="str">
            <v>Lina del Mar Florez</v>
          </cell>
        </row>
        <row r="332">
          <cell r="I332" t="str">
            <v>Seguros Generales Suramericana S.A. VANTI</v>
          </cell>
          <cell r="J332" t="str">
            <v>GNV</v>
          </cell>
        </row>
        <row r="333">
          <cell r="I333" t="str">
            <v>Sergas Colombia SASVANTI</v>
          </cell>
          <cell r="J333" t="str">
            <v>Firma Instaladora</v>
          </cell>
        </row>
        <row r="334">
          <cell r="I334" t="str">
            <v>Sergas Colombia SASGNCB</v>
          </cell>
          <cell r="J334" t="str">
            <v>Firma Instaladora</v>
          </cell>
        </row>
        <row r="335">
          <cell r="I335" t="str">
            <v>Sergas Colombia SASGNC</v>
          </cell>
          <cell r="J335" t="str">
            <v>Firma Instaladora</v>
          </cell>
        </row>
        <row r="336">
          <cell r="I336" t="str">
            <v>SERVIAUTECH ORIENTE S.A.S.GNCB</v>
          </cell>
          <cell r="J336" t="str">
            <v>Lina del Mar Florez</v>
          </cell>
        </row>
        <row r="337">
          <cell r="I337" t="str">
            <v>SERVIGAS GNV LTDAVANTI</v>
          </cell>
          <cell r="J337" t="str">
            <v>GNV</v>
          </cell>
        </row>
        <row r="338">
          <cell r="I338" t="str">
            <v>SERVIGAS QUIROGA GNV LTDAVANTI</v>
          </cell>
          <cell r="J338" t="str">
            <v>GNV</v>
          </cell>
        </row>
        <row r="339">
          <cell r="I339" t="str">
            <v>SERVOBRAS LTDAVANTI</v>
          </cell>
          <cell r="J339" t="str">
            <v>Firma Instaladora</v>
          </cell>
        </row>
        <row r="340">
          <cell r="I340" t="str">
            <v>SG 3A GAS DE COLOMBIA SASVANTI</v>
          </cell>
          <cell r="J340" t="str">
            <v>Firma Instaladora</v>
          </cell>
        </row>
        <row r="341">
          <cell r="I341" t="str">
            <v>SHAHARIT S A SGNCB</v>
          </cell>
          <cell r="J341" t="str">
            <v>Lina del Mar Florez</v>
          </cell>
        </row>
        <row r="342">
          <cell r="I342" t="str">
            <v>Simotos S.A.S.VANTI</v>
          </cell>
          <cell r="J342" t="str">
            <v>Juan Carlos Pinilla</v>
          </cell>
        </row>
        <row r="343">
          <cell r="I343" t="str">
            <v>Simotos S.A.S.GNCB</v>
          </cell>
          <cell r="J343" t="str">
            <v>Lina del Mar Florez</v>
          </cell>
        </row>
        <row r="344">
          <cell r="I344" t="str">
            <v>SISTEMAS Y SERVICIOS GAS NATURAL S.A.SGNCB</v>
          </cell>
          <cell r="J344" t="str">
            <v>Firma Instaladora</v>
          </cell>
        </row>
        <row r="345">
          <cell r="I345" t="str">
            <v>SM ELECTRONISCSGNCB</v>
          </cell>
          <cell r="J345" t="str">
            <v>Firma Instaladora</v>
          </cell>
        </row>
        <row r="346">
          <cell r="I346" t="str">
            <v>SM SERVICIOS GAS NATURAL S.A.S.GNCB</v>
          </cell>
          <cell r="J346" t="str">
            <v>Firma Instaladora</v>
          </cell>
        </row>
        <row r="347">
          <cell r="I347" t="str">
            <v>SOCODA S.A.S.VANTI</v>
          </cell>
          <cell r="J347" t="str">
            <v>Juan Carlos Pinilla</v>
          </cell>
        </row>
        <row r="348">
          <cell r="I348" t="str">
            <v>SODIMAC COLOMBIA SAGNC</v>
          </cell>
          <cell r="J348" t="str">
            <v>Lina del Mar Florez</v>
          </cell>
        </row>
        <row r="349">
          <cell r="I349" t="str">
            <v>SOELCO SASVANTI</v>
          </cell>
          <cell r="J349" t="str">
            <v>Juan Carlos Pinilla</v>
          </cell>
        </row>
        <row r="350">
          <cell r="I350" t="str">
            <v>Son Motos S.A.S.VANTI</v>
          </cell>
          <cell r="J350" t="str">
            <v>Juan Carlos Pinilla</v>
          </cell>
        </row>
        <row r="351">
          <cell r="I351" t="str">
            <v>Sport Motos Company S.A.S.GNCB</v>
          </cell>
          <cell r="J351" t="str">
            <v>Lina del Mar Florez</v>
          </cell>
        </row>
        <row r="352">
          <cell r="I352" t="str">
            <v>SU MOTO DEL MAGDALENA S.A.SVANTI</v>
          </cell>
          <cell r="J352" t="str">
            <v>Juan Carlos Pinilla</v>
          </cell>
        </row>
        <row r="353">
          <cell r="I353" t="str">
            <v>SU MOTO DEL MAGDALENA S.A.SGNC</v>
          </cell>
          <cell r="J353" t="str">
            <v>Lina del Mar Florez</v>
          </cell>
        </row>
        <row r="354">
          <cell r="I354" t="str">
            <v>SUEÑOS Y CONFORT S.A.SVANTI</v>
          </cell>
          <cell r="J354" t="str">
            <v>Juan Carlos Pinilla</v>
          </cell>
        </row>
        <row r="355">
          <cell r="I355" t="str">
            <v>SUPER ELECTRO ORIENTE S.A.S.VANTI</v>
          </cell>
          <cell r="J355" t="str">
            <v>Juan Carlos Pinilla</v>
          </cell>
        </row>
        <row r="356">
          <cell r="I356" t="str">
            <v>SUPER ELECTRO ORIENTE S.A.S.GNCB</v>
          </cell>
          <cell r="J356" t="str">
            <v>Lina del Mar Florez</v>
          </cell>
        </row>
        <row r="357">
          <cell r="I357" t="str">
            <v>SURAGAS SASVANTI</v>
          </cell>
          <cell r="J357" t="str">
            <v>GNV</v>
          </cell>
        </row>
        <row r="358">
          <cell r="I358" t="str">
            <v>TALLER AAA GAS SASVANTI</v>
          </cell>
          <cell r="J358" t="str">
            <v>GNV</v>
          </cell>
        </row>
        <row r="359">
          <cell r="I359" t="str">
            <v>TALLER AAA GAS SASGNCB</v>
          </cell>
          <cell r="J359" t="str">
            <v>GNV</v>
          </cell>
        </row>
        <row r="360">
          <cell r="I360" t="str">
            <v>TALLER DE CONVERSION VEHICOLGAS SASVANTI</v>
          </cell>
          <cell r="J360" t="str">
            <v>GNV</v>
          </cell>
        </row>
        <row r="361">
          <cell r="I361" t="str">
            <v>TALLER DE CONVERSION VEHICOLGAS SASGNCB</v>
          </cell>
          <cell r="J361" t="str">
            <v>GNV</v>
          </cell>
        </row>
        <row r="362">
          <cell r="I362" t="str">
            <v>TECH RED SASGNC</v>
          </cell>
          <cell r="J362" t="str">
            <v>Lina del Mar Florez</v>
          </cell>
        </row>
        <row r="363">
          <cell r="I363" t="str">
            <v>TECNICENTROS ER SASGNCB</v>
          </cell>
          <cell r="J363" t="str">
            <v>Lina del Mar Florez</v>
          </cell>
        </row>
        <row r="364">
          <cell r="I364" t="str">
            <v>TECNICENTROS ER SASVANTI</v>
          </cell>
          <cell r="J364" t="str">
            <v>Juan Carlos Pinilla</v>
          </cell>
        </row>
        <row r="365">
          <cell r="I365" t="str">
            <v>TENICENTROS ER SASVANTI</v>
          </cell>
          <cell r="J365" t="str">
            <v>Juan Carlos Pinilla</v>
          </cell>
        </row>
        <row r="366">
          <cell r="I366" t="str">
            <v>TENICENTROS ER SASGNCB</v>
          </cell>
          <cell r="J366" t="str">
            <v>Lina del Mar Florez</v>
          </cell>
        </row>
        <row r="367">
          <cell r="I367" t="str">
            <v>TODOMOTOS VS S.A.S.VANTI</v>
          </cell>
          <cell r="J367" t="str">
            <v>Juan Carlos Pinilla</v>
          </cell>
        </row>
        <row r="368">
          <cell r="I368" t="str">
            <v>Toma Tu Moto S.A.S.VANTI</v>
          </cell>
          <cell r="J368" t="str">
            <v>Juan Carlos Pinilla</v>
          </cell>
        </row>
        <row r="369">
          <cell r="I369" t="str">
            <v>TOQUE DE HOGAR SASVANTI</v>
          </cell>
          <cell r="J369" t="str">
            <v>Firma Instaladora</v>
          </cell>
        </row>
        <row r="370">
          <cell r="I370" t="str">
            <v>TOQUE DE HOGAR SASGNCB</v>
          </cell>
          <cell r="J370" t="str">
            <v>Firma Instaladora</v>
          </cell>
        </row>
        <row r="371">
          <cell r="I371" t="str">
            <v>TU MEJOR OFERTA SASGNCB</v>
          </cell>
          <cell r="J371" t="str">
            <v>Lina del Mar Florez</v>
          </cell>
        </row>
        <row r="372">
          <cell r="I372" t="str">
            <v>Turbo Partes Diesel S.A.S.VANTI</v>
          </cell>
          <cell r="J372" t="str">
            <v>Juan Carlos Pinilla</v>
          </cell>
        </row>
        <row r="373">
          <cell r="I373" t="str">
            <v>Ultracem S.A.S.VANTI</v>
          </cell>
          <cell r="J373" t="str">
            <v>Juan Carlos Pinilla</v>
          </cell>
        </row>
        <row r="374">
          <cell r="I374" t="str">
            <v>ULTRAGAS VEHICULAR SASVANTI</v>
          </cell>
          <cell r="J374" t="str">
            <v>GNV</v>
          </cell>
        </row>
        <row r="375">
          <cell r="I375" t="str">
            <v>ULTRAGAS VEHICULAR SASGNCB</v>
          </cell>
          <cell r="J375" t="str">
            <v>GNV</v>
          </cell>
        </row>
        <row r="376">
          <cell r="I376" t="str">
            <v>Usadas Certificadas S.A.S.GNCB</v>
          </cell>
          <cell r="J376" t="str">
            <v>Juan Carlos Pinilla</v>
          </cell>
        </row>
        <row r="377">
          <cell r="I377" t="str">
            <v>Usadas Certificadas S.A.S.GNC</v>
          </cell>
          <cell r="J377" t="str">
            <v>Lina del Mar Florez</v>
          </cell>
        </row>
        <row r="378">
          <cell r="I378" t="str">
            <v>VEHICULO A GAS LTDAVANTI</v>
          </cell>
          <cell r="J378" t="str">
            <v>GNV</v>
          </cell>
        </row>
        <row r="379">
          <cell r="I379" t="str">
            <v>VEHICULO A GAS LTDAGNCB</v>
          </cell>
          <cell r="J379" t="str">
            <v>GNV</v>
          </cell>
        </row>
        <row r="380">
          <cell r="I380" t="str">
            <v>Velmotor S.A.S.GNCB</v>
          </cell>
          <cell r="J380" t="str">
            <v>Lina del Mar Florez</v>
          </cell>
        </row>
        <row r="381">
          <cell r="I381" t="str">
            <v>VIA MOTOS S.A.SGNCB</v>
          </cell>
          <cell r="J381" t="str">
            <v>Lina del Mar Florez</v>
          </cell>
        </row>
        <row r="382">
          <cell r="I382" t="str">
            <v>VIA MOTOS S.A.SVANTI</v>
          </cell>
          <cell r="J382" t="str">
            <v>Juan Carlos Pinilla</v>
          </cell>
        </row>
        <row r="383">
          <cell r="I383" t="str">
            <v>VICTOR MOTOS SASGNC</v>
          </cell>
          <cell r="J383" t="str">
            <v>Lina del Mar Florez</v>
          </cell>
        </row>
        <row r="384">
          <cell r="I384" t="str">
            <v>Yamarinos Kasamotos S.A.S.GNCB</v>
          </cell>
          <cell r="J384" t="str">
            <v>Lina del Mar Florez</v>
          </cell>
        </row>
        <row r="385">
          <cell r="I385" t="str">
            <v>ZAGAMOTOS DEL PACIFICO S.A.SVANTI</v>
          </cell>
          <cell r="J385" t="str">
            <v>Juan Carlos Pinilla</v>
          </cell>
        </row>
        <row r="386">
          <cell r="I386" t="str">
            <v>ZAGAMOTOS DEL PACIFICO S.A.SGNC</v>
          </cell>
          <cell r="J386" t="str">
            <v>Lina del Mar Florez</v>
          </cell>
        </row>
        <row r="387">
          <cell r="I387" t="str">
            <v>ZAVOLI COLOMBIA SASGNCB</v>
          </cell>
          <cell r="J387" t="str">
            <v>GNV</v>
          </cell>
        </row>
        <row r="388">
          <cell r="I388" t="str">
            <v>ZAVOLI COLOMBIA SASVANTI</v>
          </cell>
          <cell r="J388" t="str">
            <v>GNV</v>
          </cell>
        </row>
        <row r="389">
          <cell r="I389" t="str">
            <v>Zeta Mobiity S.A.S.GNCB</v>
          </cell>
          <cell r="J389" t="str">
            <v>Lina del Mar Florez</v>
          </cell>
        </row>
        <row r="390">
          <cell r="I390" t="str">
            <v>SOELCO SASGNC</v>
          </cell>
          <cell r="J390" t="str">
            <v>Lina del Mar Florez</v>
          </cell>
        </row>
        <row r="391">
          <cell r="I391" t="str">
            <v>OLIMPICA S.A.GNC</v>
          </cell>
          <cell r="J391" t="str">
            <v>Lina del Mar Florez</v>
          </cell>
        </row>
        <row r="392">
          <cell r="I392" t="str">
            <v>ELECTRODOMESTICOS MILLER S.A.SVANTI</v>
          </cell>
          <cell r="J392" t="str">
            <v>Juan Carlos Pinilla</v>
          </cell>
        </row>
        <row r="393">
          <cell r="I393" t="str">
            <v>COMPAÑÍA DE SERVICIOS ARENAS ROJAS SASVANTI</v>
          </cell>
          <cell r="J393" t="str">
            <v>Juan Carlos Pinilla</v>
          </cell>
        </row>
        <row r="394">
          <cell r="I394" t="str">
            <v>COOPERATIVA MULTIACTIVA DE LOS TRABAJADORES DE SANTANDER VANTI</v>
          </cell>
          <cell r="J394" t="str">
            <v>Juan Carlos Pinilla</v>
          </cell>
        </row>
        <row r="395">
          <cell r="I395" t="str">
            <v>Distribuidora de Motores y Movilidad Dimovil S.A.S.GNCB</v>
          </cell>
          <cell r="J395" t="str">
            <v>Lina del Mar Florez</v>
          </cell>
        </row>
        <row r="396">
          <cell r="I396" t="str">
            <v>MOTO PLANET SAS.VANTI</v>
          </cell>
          <cell r="J396" t="str">
            <v>Juan Carlos Pinilla</v>
          </cell>
        </row>
        <row r="397">
          <cell r="I397" t="str">
            <v>GRUPO FERRETERO F.C. S.A.S.VANTI</v>
          </cell>
          <cell r="J397" t="str">
            <v>Juan Carlos Pinilla</v>
          </cell>
        </row>
        <row r="398">
          <cell r="I398" t="str">
            <v>MAS MOTOS MAS REPUESTOSVANTI</v>
          </cell>
          <cell r="J398" t="str">
            <v>Juan Carlos Pinilla</v>
          </cell>
        </row>
        <row r="399">
          <cell r="I399" t="str">
            <v>ALBEIRO CANO TOROGNC</v>
          </cell>
          <cell r="J399" t="str">
            <v>Lina del Mar Florez</v>
          </cell>
        </row>
        <row r="400">
          <cell r="I400" t="str">
            <v>ALCA LTDAVANTI</v>
          </cell>
          <cell r="J400" t="str">
            <v>Juan Carlos Pinilla</v>
          </cell>
        </row>
        <row r="401">
          <cell r="I401" t="str">
            <v>Alfagres S.A. - En ReorganizaciónGNCB</v>
          </cell>
          <cell r="J401" t="str">
            <v>Lina del Mar Florez</v>
          </cell>
        </row>
        <row r="402">
          <cell r="I402" t="str">
            <v>Alfagres S.A. - En ReorganizaciónVANTI</v>
          </cell>
          <cell r="J402" t="str">
            <v>Juan Carlos Pinilla</v>
          </cell>
        </row>
        <row r="403">
          <cell r="I403" t="str">
            <v>ALMACENES CORONA S.A.SGNCB</v>
          </cell>
          <cell r="J403" t="str">
            <v>Lina del Mar Florez</v>
          </cell>
        </row>
        <row r="404">
          <cell r="I404" t="str">
            <v>ALMACENES CORONA S.A.SVANTI</v>
          </cell>
          <cell r="J404" t="str">
            <v>Juan Carlos Pinilla</v>
          </cell>
        </row>
        <row r="405">
          <cell r="I405" t="str">
            <v>ALMACENES EXITO S AGNCB</v>
          </cell>
          <cell r="J405" t="str">
            <v>Lina del Mar Florez</v>
          </cell>
        </row>
        <row r="406">
          <cell r="I406" t="str">
            <v>ALMACENES EXITO S AVANTI</v>
          </cell>
          <cell r="J406" t="str">
            <v>Janneth Torres Hernandez</v>
          </cell>
        </row>
        <row r="407">
          <cell r="I407" t="str">
            <v>ALONDRA MUEBLES Y COLCHONES S.A.SGNCB</v>
          </cell>
          <cell r="J407" t="str">
            <v>Lina del Mar Florez</v>
          </cell>
        </row>
        <row r="408">
          <cell r="I408" t="str">
            <v>ALONDRA MUEBLES Y COLCHONES S.A.SVANTI</v>
          </cell>
          <cell r="J408" t="str">
            <v>Juan Carlos Pinilla</v>
          </cell>
        </row>
        <row r="409">
          <cell r="I409" t="str">
            <v>AMBIENTES CERAMICOS LTDAGNCB</v>
          </cell>
          <cell r="J409" t="str">
            <v>Lina del Mar Florez</v>
          </cell>
        </row>
        <row r="410">
          <cell r="I410" t="str">
            <v>Ana Maria ParraGNCB</v>
          </cell>
          <cell r="J410" t="str">
            <v>Lina del Mar Florez</v>
          </cell>
        </row>
        <row r="411">
          <cell r="I411" t="str">
            <v>AUTECO S.A.S.VANTI</v>
          </cell>
          <cell r="J411" t="str">
            <v>Juan Carlos Pinilla</v>
          </cell>
        </row>
        <row r="412">
          <cell r="I412" t="str">
            <v>AUTECO S.A.S.GNCB</v>
          </cell>
          <cell r="J412" t="str">
            <v>Lina del Mar Florez</v>
          </cell>
        </row>
        <row r="413">
          <cell r="I413" t="str">
            <v>BANAMOTOS S.ASVANTI</v>
          </cell>
          <cell r="J413" t="str">
            <v>Juan Carlos Pinilla</v>
          </cell>
        </row>
        <row r="414">
          <cell r="I414" t="str">
            <v>BANAMOTOS S.ASGNCB</v>
          </cell>
          <cell r="J414" t="str">
            <v>Lina del Mar Florez</v>
          </cell>
        </row>
        <row r="415">
          <cell r="I415" t="str">
            <v>Biologica Vehiculos Electricos S.A.S.VANTI</v>
          </cell>
          <cell r="J415" t="str">
            <v>Juan Carlos Pinilla</v>
          </cell>
        </row>
        <row r="416">
          <cell r="I416" t="str">
            <v>BMR Group S.A.S.VANTI</v>
          </cell>
          <cell r="J416" t="str">
            <v>Juan Carlos Pinilla</v>
          </cell>
        </row>
        <row r="417">
          <cell r="I417" t="str">
            <v>CAMACHO SUAREZ NELSON DAMIANGNC</v>
          </cell>
          <cell r="J417" t="str">
            <v>Lina del Mar Florez</v>
          </cell>
        </row>
        <row r="418">
          <cell r="I418" t="str">
            <v>Carrera Motos S.A.S.VANTI</v>
          </cell>
          <cell r="J418" t="str">
            <v>Juan Carlos Pinilla</v>
          </cell>
        </row>
        <row r="419">
          <cell r="I419" t="str">
            <v>Carrera Motos S.A.S.GNCB</v>
          </cell>
          <cell r="J419" t="str">
            <v>Lina del Mar Florez</v>
          </cell>
        </row>
        <row r="420">
          <cell r="I420" t="str">
            <v>CASA BAJAJ MYM S.A.S.VANTI</v>
          </cell>
          <cell r="J420" t="str">
            <v>Juan Carlos Pinilla</v>
          </cell>
        </row>
        <row r="421">
          <cell r="I421" t="str">
            <v>CEILINGS AND FLOORSVANTI</v>
          </cell>
          <cell r="J421" t="str">
            <v>Juan Carlos Pinilla</v>
          </cell>
        </row>
        <row r="422">
          <cell r="I422" t="str">
            <v>CENTRO MOTOS DE COLOMBIA S.A.S.VANTI</v>
          </cell>
          <cell r="J422" t="str">
            <v>Juan Carlos Pinilla</v>
          </cell>
        </row>
        <row r="423">
          <cell r="I423" t="str">
            <v>CENTRO MOTOS DE COLOMBIA S.A.S.GNCB</v>
          </cell>
          <cell r="J423" t="str">
            <v>Lina del Mar Florez</v>
          </cell>
        </row>
        <row r="424">
          <cell r="I424" t="str">
            <v>CHACAM TRADING SASGNC</v>
          </cell>
          <cell r="J424" t="str">
            <v>Lina del Mar Florez</v>
          </cell>
        </row>
        <row r="425">
          <cell r="I425" t="str">
            <v>CHACAM TRADING SASGNCB</v>
          </cell>
          <cell r="J425" t="str">
            <v>Lina del Mar Florez</v>
          </cell>
        </row>
        <row r="426">
          <cell r="I426" t="str">
            <v>CHINCHILLA SANTIAGO MILDREDGNC</v>
          </cell>
          <cell r="J426" t="str">
            <v>Lina del Mar Florez</v>
          </cell>
        </row>
        <row r="427">
          <cell r="I427" t="str">
            <v>Cimaxcol S.A.S.VANTI</v>
          </cell>
          <cell r="J427" t="str">
            <v>Juan Carlos Pinilla</v>
          </cell>
        </row>
        <row r="428">
          <cell r="I428" t="str">
            <v>CIRO ARÉVALO BARBOSAGNC</v>
          </cell>
          <cell r="J428" t="str">
            <v>Lina del Mar Florez</v>
          </cell>
        </row>
        <row r="429">
          <cell r="I429" t="str">
            <v>COL HOGAR 1 S A SGNCB</v>
          </cell>
          <cell r="J429" t="str">
            <v>Lina del Mar Florez</v>
          </cell>
        </row>
        <row r="430">
          <cell r="I430" t="str">
            <v>COL HOGAR 1 S A SVANTI</v>
          </cell>
          <cell r="J430" t="str">
            <v>Juan Carlos Pinilla</v>
          </cell>
        </row>
        <row r="431">
          <cell r="I431" t="str">
            <v>COLCAJICA MERCANTIL SASGNCB</v>
          </cell>
          <cell r="J431" t="str">
            <v>Lina del Mar Florez</v>
          </cell>
        </row>
        <row r="432">
          <cell r="I432" t="str">
            <v>COLCAJICA MERCANTIL SASVANTI</v>
          </cell>
          <cell r="J432" t="str">
            <v>Juan Carlos Pinilla</v>
          </cell>
        </row>
        <row r="433">
          <cell r="I433" t="str">
            <v>COLCHONES EL DORADO SAVANTI</v>
          </cell>
          <cell r="J433" t="str">
            <v>Juan Carlos Pinilla</v>
          </cell>
        </row>
        <row r="434">
          <cell r="I434" t="str">
            <v>COLCHONES EL DORADO SAGNCB</v>
          </cell>
          <cell r="J434" t="str">
            <v>Lina del Mar Florez</v>
          </cell>
        </row>
        <row r="435">
          <cell r="I435" t="str">
            <v>COLCHONES STOPPING S.A.S.VANTI</v>
          </cell>
          <cell r="J435" t="str">
            <v>Juan Carlos Pinilla</v>
          </cell>
        </row>
        <row r="436">
          <cell r="I436" t="str">
            <v>COLOMBIANA DE COMERCIOGNCB</v>
          </cell>
          <cell r="J436" t="str">
            <v>Lina del Mar Florez</v>
          </cell>
        </row>
        <row r="437">
          <cell r="I437" t="str">
            <v>COLOMBIANA DE COMERCIOVANTI</v>
          </cell>
          <cell r="J437" t="str">
            <v>Janneth Torres Hernandez</v>
          </cell>
        </row>
        <row r="438">
          <cell r="I438" t="str">
            <v>COMERCIAL MEYER CESAR S.A.S ZOMACGNC</v>
          </cell>
          <cell r="J438" t="str">
            <v>Lina del Mar Florez</v>
          </cell>
        </row>
        <row r="439">
          <cell r="I439" t="str">
            <v>Comercializadora de Motos Isaka S.A.S.VANTI</v>
          </cell>
          <cell r="J439" t="str">
            <v>Juan Carlos Pinilla</v>
          </cell>
        </row>
        <row r="440">
          <cell r="I440" t="str">
            <v>Comercializadora ElecktroasGNC</v>
          </cell>
          <cell r="J440" t="str">
            <v>Lina del Mar Florez</v>
          </cell>
        </row>
        <row r="441">
          <cell r="I441" t="str">
            <v>COMPAÑÍA COLOMBIANA DE CERAMICA SASGNCB</v>
          </cell>
          <cell r="J441" t="str">
            <v>Lina del Mar Florez</v>
          </cell>
        </row>
        <row r="442">
          <cell r="I442" t="str">
            <v>COMPAÑÍA DE SERVICIOS ARENAS ROJAS SASGNC</v>
          </cell>
          <cell r="J442" t="str">
            <v>Lina del Mar Florez</v>
          </cell>
        </row>
        <row r="443">
          <cell r="I443" t="str">
            <v>Compañía Nacional de Motocicletas S.A.S.VANTI</v>
          </cell>
          <cell r="J443" t="str">
            <v>Juan Carlos Pinilla</v>
          </cell>
        </row>
        <row r="444">
          <cell r="I444" t="str">
            <v>COONDOR MOBILITY S.A.SVANTI</v>
          </cell>
          <cell r="J444" t="str">
            <v>Juan Carlos Pinilla</v>
          </cell>
        </row>
        <row r="445">
          <cell r="I445" t="str">
            <v>Credimotos de Colombia S.A.S.GNCB</v>
          </cell>
          <cell r="J445" t="str">
            <v>Lina del Mar Florez</v>
          </cell>
        </row>
        <row r="446">
          <cell r="I446" t="str">
            <v>Credimotos de Colombia S.A.S.VANTI</v>
          </cell>
          <cell r="J446" t="str">
            <v>Juan Carlos Pinilla</v>
          </cell>
        </row>
        <row r="447">
          <cell r="I447" t="str">
            <v>Credimovil de Colombia S.A.S.GNCB</v>
          </cell>
          <cell r="J447" t="str">
            <v>Lina del Mar Florez</v>
          </cell>
        </row>
        <row r="448">
          <cell r="I448" t="str">
            <v>Credimovil de Colombia S.A.S.VANTI</v>
          </cell>
          <cell r="J448" t="str">
            <v>Juan Carlos Pinilla</v>
          </cell>
        </row>
        <row r="449">
          <cell r="I449" t="str">
            <v>Decorados y Acabados Ceramicos S.A.S.VANTI</v>
          </cell>
          <cell r="J449" t="str">
            <v>Juan Carlos Pinilla</v>
          </cell>
        </row>
        <row r="450">
          <cell r="I450" t="str">
            <v>Digimotos de Colombia S.A.S.VANTI</v>
          </cell>
          <cell r="J450" t="str">
            <v>Juan Carlos Pinilla</v>
          </cell>
        </row>
        <row r="451">
          <cell r="I451" t="str">
            <v>Discercol Group S.A.S.VANTI</v>
          </cell>
          <cell r="J451" t="str">
            <v>Juan Carlos Pinilla</v>
          </cell>
        </row>
        <row r="452">
          <cell r="I452" t="str">
            <v>DISMERCA SASVANTI</v>
          </cell>
          <cell r="J452" t="str">
            <v>Juan Carlos Pinilla</v>
          </cell>
        </row>
        <row r="453">
          <cell r="I453" t="str">
            <v>DISTRIBUIDORA REX S.A.S.GNC</v>
          </cell>
          <cell r="J453" t="str">
            <v>Lina del Mar Florez</v>
          </cell>
        </row>
        <row r="454">
          <cell r="I454" t="str">
            <v>DISTRIBUIDORA REX S.A.S.GNCB</v>
          </cell>
          <cell r="J454" t="str">
            <v>Lina del Mar Florez</v>
          </cell>
        </row>
        <row r="455">
          <cell r="I455" t="str">
            <v>DISTRICERAMICAS BLAPER S.AGNCB</v>
          </cell>
          <cell r="J455" t="str">
            <v>Lina del Mar Florez</v>
          </cell>
        </row>
        <row r="456">
          <cell r="I456" t="str">
            <v>Districolmotos S.A.SGNC</v>
          </cell>
          <cell r="J456" t="str">
            <v>Lina del Mar Florez</v>
          </cell>
        </row>
        <row r="457">
          <cell r="I457" t="str">
            <v>DISTRIMOTOS DE COLOMBIA S.A.SGNCB</v>
          </cell>
          <cell r="J457" t="str">
            <v>Lina del Mar Florez</v>
          </cell>
        </row>
        <row r="458">
          <cell r="I458" t="str">
            <v>DISTRIMOTOS DE COLOMBIA S.A.SGNC</v>
          </cell>
          <cell r="J458" t="str">
            <v>Lina del Mar Florez</v>
          </cell>
        </row>
        <row r="459">
          <cell r="I459" t="str">
            <v>DISTRITODO VS S.A.SGNC</v>
          </cell>
          <cell r="J459" t="str">
            <v>Lina del Mar Florez</v>
          </cell>
        </row>
        <row r="460">
          <cell r="I460" t="str">
            <v>DIVERXA S.A.SVANTI</v>
          </cell>
          <cell r="J460" t="str">
            <v>Juan Carlos Pinilla</v>
          </cell>
        </row>
        <row r="461">
          <cell r="I461" t="str">
            <v>DIVERXA S.A.SGNCB</v>
          </cell>
          <cell r="J461" t="str">
            <v>Lina del Mar Florez</v>
          </cell>
        </row>
        <row r="462">
          <cell r="I462" t="str">
            <v>EDWAR TOVAR SANCHEZGNCB</v>
          </cell>
          <cell r="J462" t="str">
            <v>Lina del Mar Florez</v>
          </cell>
        </row>
        <row r="463">
          <cell r="I463" t="str">
            <v>EDWAR TOVAR SANCHEZVANTI</v>
          </cell>
          <cell r="J463" t="str">
            <v>Juan Carlos Pinilla</v>
          </cell>
        </row>
        <row r="464">
          <cell r="I464" t="str">
            <v>Electric World S.A.S.GNCB</v>
          </cell>
          <cell r="J464" t="str">
            <v>Lina del Mar Florez</v>
          </cell>
        </row>
        <row r="465">
          <cell r="I465" t="str">
            <v>ELECTRO AO S.A.SGNC</v>
          </cell>
          <cell r="J465" t="str">
            <v>Lina del Mar Florez</v>
          </cell>
        </row>
        <row r="466">
          <cell r="I466" t="str">
            <v>ELECTROFERIA DE LA CARRERA 13 SASVANTI</v>
          </cell>
          <cell r="J466" t="str">
            <v>Juan Carlos Pinilla</v>
          </cell>
        </row>
        <row r="467">
          <cell r="I467" t="str">
            <v>EUROPUNTO J.J. SASVANTI</v>
          </cell>
          <cell r="J467" t="str">
            <v>Juan Carlos Pinilla</v>
          </cell>
        </row>
        <row r="468">
          <cell r="I468" t="str">
            <v>FULL HOME BC S.A.SGNCB</v>
          </cell>
          <cell r="J468" t="str">
            <v>Lina del Mar Florez</v>
          </cell>
        </row>
        <row r="469">
          <cell r="I469" t="str">
            <v>GELVER ANTONIO ORTEGA SANCHEZGNC</v>
          </cell>
          <cell r="J469" t="str">
            <v>Lina del Mar Florez</v>
          </cell>
        </row>
        <row r="470">
          <cell r="I470" t="str">
            <v>GEORGES EL ACHKARGNCB</v>
          </cell>
          <cell r="J470" t="str">
            <v>Lina del Mar Florez</v>
          </cell>
        </row>
        <row r="471">
          <cell r="I471" t="str">
            <v>GLOBAL DANACOR S.A.S VANTI</v>
          </cell>
          <cell r="J471" t="str">
            <v>Juan Carlos Pinilla</v>
          </cell>
        </row>
        <row r="472">
          <cell r="I472" t="str">
            <v>GNP GRUPO NACIONAL DE PROYECTOS S A SGNCB</v>
          </cell>
          <cell r="J472" t="str">
            <v>Lina del Mar Florez</v>
          </cell>
        </row>
        <row r="473">
          <cell r="I473" t="str">
            <v>Gomez y Cia S.A.S.VANTI</v>
          </cell>
          <cell r="J473" t="str">
            <v>Juan Carlos Pinilla</v>
          </cell>
        </row>
        <row r="474">
          <cell r="I474" t="str">
            <v>GRUPO MANSION S.A.S.GNCB</v>
          </cell>
          <cell r="J474" t="str">
            <v>Lina del Mar Florez</v>
          </cell>
        </row>
        <row r="475">
          <cell r="I475" t="str">
            <v>GRUPO MANSION S.A.S.VANTI</v>
          </cell>
          <cell r="J475" t="str">
            <v>Juan Carlos Pinilla</v>
          </cell>
        </row>
        <row r="476">
          <cell r="I476" t="str">
            <v>GRUPO MERPES S.A.SGNCB</v>
          </cell>
          <cell r="J476" t="str">
            <v>Lina del Mar Florez</v>
          </cell>
        </row>
        <row r="477">
          <cell r="I477" t="str">
            <v>GRUPO MERPES S.A.SVANTI</v>
          </cell>
          <cell r="J477" t="str">
            <v>Juan Carlos Pinilla</v>
          </cell>
        </row>
        <row r="478">
          <cell r="I478" t="str">
            <v>Grupo Supermotos S.A.S.GNCB</v>
          </cell>
          <cell r="J478" t="str">
            <v>Lina del Mar Florez</v>
          </cell>
        </row>
        <row r="479">
          <cell r="I479" t="str">
            <v>Grupo Supermotos S.A.S.VANTI</v>
          </cell>
          <cell r="J479" t="str">
            <v>Juan Carlos Pinilla</v>
          </cell>
        </row>
        <row r="480">
          <cell r="I480" t="str">
            <v>Grupo UMA S.A.S.VANTI</v>
          </cell>
          <cell r="J480" t="str">
            <v>Juan Carlos Pinilla</v>
          </cell>
        </row>
        <row r="481">
          <cell r="I481" t="str">
            <v>HIPERMERCADO CENTRAL DE ELECTRODOMESTICOS S.A.S HICEL S.A.SVANTI</v>
          </cell>
          <cell r="J481" t="str">
            <v>Juan Carlos Pinilla</v>
          </cell>
        </row>
        <row r="482">
          <cell r="I482" t="str">
            <v>HMCL COLOMBIA S.A.S.VANTI</v>
          </cell>
          <cell r="J482" t="str">
            <v>Juan Carlos Pinilla</v>
          </cell>
        </row>
        <row r="483">
          <cell r="I483" t="str">
            <v>HMCL COLOMBIA S.A.S.GNCB</v>
          </cell>
          <cell r="J483" t="str">
            <v>Lina del Mar Florez</v>
          </cell>
        </row>
        <row r="484">
          <cell r="I484" t="str">
            <v>Holding Motor Group S.A.S.VANTI</v>
          </cell>
          <cell r="J484" t="str">
            <v>Juan Carlos Pinilla</v>
          </cell>
        </row>
        <row r="485">
          <cell r="I485" t="str">
            <v>INACSA S.A.SGNCB</v>
          </cell>
          <cell r="J485" t="str">
            <v>Lina del Mar Florez</v>
          </cell>
        </row>
        <row r="486">
          <cell r="I486" t="str">
            <v>INACSA S.A.SVANTI</v>
          </cell>
          <cell r="J486" t="str">
            <v>Juan Carlos Pinilla</v>
          </cell>
        </row>
        <row r="487">
          <cell r="I487" t="str">
            <v>INVERSIONES GUTIERREZ HERNANDEZGNCB</v>
          </cell>
          <cell r="J487" t="str">
            <v>Lina del Mar Florez</v>
          </cell>
        </row>
        <row r="488">
          <cell r="I488" t="str">
            <v>INVERSIONES INNOVAR DE COLOMBIA SAVANTI</v>
          </cell>
          <cell r="J488" t="str">
            <v>Juan Carlos Pinilla</v>
          </cell>
        </row>
        <row r="489">
          <cell r="I489" t="str">
            <v>INVERSIONES KASAMIA SASVANTI</v>
          </cell>
          <cell r="J489" t="str">
            <v>Juan Carlos Pinilla</v>
          </cell>
        </row>
        <row r="490">
          <cell r="I490" t="str">
            <v>INVERSIONES KASAMIA SASGNCB</v>
          </cell>
          <cell r="J490" t="str">
            <v>Lina del Mar Florez</v>
          </cell>
        </row>
        <row r="491">
          <cell r="I491" t="str">
            <v>INVERSIONES VILLARAIRAN SASGNCB</v>
          </cell>
          <cell r="J491" t="str">
            <v>Lina del Mar Florez</v>
          </cell>
        </row>
        <row r="492">
          <cell r="I492" t="str">
            <v>JHONATHAN FABIAN CASTRO OLMOSGNCB</v>
          </cell>
          <cell r="J492" t="str">
            <v>Lina del Mar Florez</v>
          </cell>
        </row>
        <row r="493">
          <cell r="I493" t="str">
            <v>Lobi Car S.A.S.VANTI</v>
          </cell>
          <cell r="J493" t="str">
            <v>Juan Carlos Pinilla</v>
          </cell>
        </row>
        <row r="494">
          <cell r="I494" t="str">
            <v>LUIS NAPOLEON CALDERON MENDOZAGNC</v>
          </cell>
          <cell r="J494" t="str">
            <v>Lina del Mar Florez</v>
          </cell>
        </row>
        <row r="495">
          <cell r="I495" t="str">
            <v>M&amp;F SUPER GAS SASGNCB</v>
          </cell>
          <cell r="J495" t="str">
            <v>Lina del Mar Florez</v>
          </cell>
        </row>
        <row r="496">
          <cell r="I496" t="str">
            <v>M&amp;F SUPER GAS SASVANTI</v>
          </cell>
          <cell r="J496" t="str">
            <v>Juan Carlos Pinilla</v>
          </cell>
        </row>
        <row r="497">
          <cell r="I497" t="str">
            <v>Macro Motos Golden S.A.S.VANTI</v>
          </cell>
          <cell r="J497" t="str">
            <v>Juan Carlos Pinilla</v>
          </cell>
        </row>
        <row r="498">
          <cell r="I498" t="str">
            <v>MAS QUE MOTOS SASGNCB</v>
          </cell>
          <cell r="J498" t="str">
            <v>Lina del Mar Florez</v>
          </cell>
        </row>
        <row r="499">
          <cell r="I499" t="str">
            <v>Masda S.A.S.VANTI</v>
          </cell>
          <cell r="J499" t="str">
            <v>Juan Carlos Pinilla</v>
          </cell>
        </row>
        <row r="500">
          <cell r="I500" t="str">
            <v>MATERIALES EMO SASVANTI</v>
          </cell>
          <cell r="J500" t="str">
            <v>Juan Carlos Pinilla</v>
          </cell>
        </row>
        <row r="501">
          <cell r="I501" t="str">
            <v>MAXICASSA SASGNCB</v>
          </cell>
          <cell r="J501" t="str">
            <v>Lina del Mar Florez</v>
          </cell>
        </row>
        <row r="502">
          <cell r="I502" t="str">
            <v>MAXICASSA SASVANTI</v>
          </cell>
          <cell r="J502" t="str">
            <v>Juan Carlos Pinilla</v>
          </cell>
        </row>
        <row r="503">
          <cell r="I503" t="str">
            <v>MAXIMUEBLES JC SASGNCB</v>
          </cell>
          <cell r="J503" t="str">
            <v>Lina del Mar Florez</v>
          </cell>
        </row>
        <row r="504">
          <cell r="I504" t="str">
            <v>Moto Auto Store S.A.S.VANTI</v>
          </cell>
          <cell r="J504" t="str">
            <v>Juan Carlos Pinilla</v>
          </cell>
        </row>
        <row r="505">
          <cell r="I505" t="str">
            <v>Moto Market Group S.A.S.VANTI</v>
          </cell>
          <cell r="J505" t="str">
            <v>Juan Carlos Pinilla</v>
          </cell>
        </row>
        <row r="506">
          <cell r="I506" t="str">
            <v>Moto Xtreme Hero S.A.S.GNCB</v>
          </cell>
          <cell r="J506" t="str">
            <v>Lina del Mar Florez</v>
          </cell>
        </row>
        <row r="507">
          <cell r="I507" t="str">
            <v>MOTORACING DE COLOMBIA S.A.S.GNCB</v>
          </cell>
          <cell r="J507" t="str">
            <v>Lina del Mar Florez</v>
          </cell>
        </row>
        <row r="508">
          <cell r="I508" t="str">
            <v>Motored de Colombia S.A.S.VANTI</v>
          </cell>
          <cell r="J508" t="str">
            <v>Juan Carlos Pinilla</v>
          </cell>
        </row>
        <row r="509">
          <cell r="I509" t="str">
            <v>MOTOS ACOSTA S.A.S.GNCB</v>
          </cell>
          <cell r="J509" t="str">
            <v>Lina del Mar Florez</v>
          </cell>
        </row>
        <row r="510">
          <cell r="I510" t="str">
            <v>MOTOS DE LA BOYACA SASVANTI</v>
          </cell>
          <cell r="J510" t="str">
            <v>Juan Carlos Pinilla</v>
          </cell>
        </row>
        <row r="511">
          <cell r="I511" t="str">
            <v>Motos del Camino S.A.S.VANTI</v>
          </cell>
          <cell r="J511" t="str">
            <v>Juan Carlos Pinilla</v>
          </cell>
        </row>
        <row r="512">
          <cell r="I512" t="str">
            <v>MOTOS DEL SUR BOGOTA SASVANTI</v>
          </cell>
          <cell r="J512" t="str">
            <v>Juan Carlos Pinilla</v>
          </cell>
        </row>
        <row r="513">
          <cell r="I513" t="str">
            <v>Motos del Tropico S.A.S.VANTI</v>
          </cell>
          <cell r="J513" t="str">
            <v>Juan Carlos Pinilla</v>
          </cell>
        </row>
        <row r="514">
          <cell r="I514" t="str">
            <v>MOTOS GAP SASGNC</v>
          </cell>
          <cell r="J514" t="str">
            <v>Lina del Mar Florez</v>
          </cell>
        </row>
        <row r="515">
          <cell r="I515" t="str">
            <v>Motos Naked S.A.S.VANTI</v>
          </cell>
          <cell r="J515" t="str">
            <v>Juan Carlos Pinilla</v>
          </cell>
        </row>
        <row r="516">
          <cell r="I516" t="str">
            <v>MOTOS Y REPUESTOS LA PRINCIPAL S.A.S.GNCB</v>
          </cell>
          <cell r="J516" t="str">
            <v>Lina del Mar Florez</v>
          </cell>
        </row>
        <row r="517">
          <cell r="I517" t="str">
            <v>Motoselva Motocicletas S.A.S.VANTI</v>
          </cell>
          <cell r="J517" t="str">
            <v>Juan Carlos Pinilla</v>
          </cell>
        </row>
        <row r="518">
          <cell r="I518" t="str">
            <v>MOTOZONA SASGNCB</v>
          </cell>
          <cell r="J518" t="str">
            <v>Lina del Mar Florez</v>
          </cell>
        </row>
        <row r="519">
          <cell r="I519" t="str">
            <v>Movilidad Electrica Canaan S.A.S.GNCB</v>
          </cell>
          <cell r="J519" t="str">
            <v>Lina del Mar Florez</v>
          </cell>
        </row>
        <row r="520">
          <cell r="I520" t="str">
            <v>MOVIMOTOR S.A.S.GNCB</v>
          </cell>
          <cell r="J520" t="str">
            <v>Lina del Mar Florez</v>
          </cell>
        </row>
        <row r="521">
          <cell r="I521" t="str">
            <v>Multintegral SASGNCB</v>
          </cell>
          <cell r="J521" t="str">
            <v>Lina del Mar Florez</v>
          </cell>
        </row>
        <row r="522">
          <cell r="I522" t="str">
            <v>Multintegral SASVANTI</v>
          </cell>
          <cell r="J522" t="str">
            <v>Juan Carlos Pinilla</v>
          </cell>
        </row>
        <row r="523">
          <cell r="I523" t="str">
            <v>Mundo Cross Bogotá S.A.S.VANTI</v>
          </cell>
          <cell r="J523" t="str">
            <v>Juan Carlos Pinilla</v>
          </cell>
        </row>
        <row r="524">
          <cell r="I524" t="str">
            <v>Mundo de La Movilidad S.A.S.VANTI</v>
          </cell>
          <cell r="J524" t="str">
            <v>Juan Carlos Pinilla</v>
          </cell>
        </row>
        <row r="525">
          <cell r="I525" t="str">
            <v>NECHI MOTOS S.A.S.GNC</v>
          </cell>
          <cell r="J525" t="str">
            <v>Lina del Mar Florez</v>
          </cell>
        </row>
        <row r="526">
          <cell r="I526" t="str">
            <v>NEGOCIOS E INVERSIONES SINGS S.A.SGNC</v>
          </cell>
          <cell r="J526" t="str">
            <v>Lina del Mar Florez</v>
          </cell>
        </row>
        <row r="527">
          <cell r="I527" t="str">
            <v>OLIMPICA S.A.VANTI</v>
          </cell>
          <cell r="J527" t="str">
            <v>Janneth Torres Hernandez</v>
          </cell>
        </row>
        <row r="528">
          <cell r="I528" t="str">
            <v>PEGO &amp; ASOCIADOS S A SGNCB</v>
          </cell>
          <cell r="J528" t="str">
            <v>Lina del Mar Florez</v>
          </cell>
        </row>
        <row r="529">
          <cell r="I529" t="str">
            <v>PISOS Y ENCHAPES EUROCARIBE S.A.S.VANTI</v>
          </cell>
          <cell r="J529" t="str">
            <v>Juan Carlos Pinilla</v>
          </cell>
        </row>
        <row r="530">
          <cell r="I530" t="str">
            <v>Planeta Motos S.A.S.VANTI</v>
          </cell>
          <cell r="J530" t="str">
            <v>Juan Carlos Pinilla</v>
          </cell>
        </row>
        <row r="531">
          <cell r="I531" t="str">
            <v>PROYECTO E INVERSIONES GIRONA SASGNCB</v>
          </cell>
          <cell r="J531" t="str">
            <v>Lina del Mar Florez</v>
          </cell>
        </row>
        <row r="532">
          <cell r="I532" t="str">
            <v>PROYECTO E INVERSIONES GIRONA SASVANTI</v>
          </cell>
          <cell r="J532" t="str">
            <v>Juan Carlos Pinilla</v>
          </cell>
        </row>
        <row r="533">
          <cell r="I533" t="str">
            <v>PUNTO CENTER S.A.SGNC</v>
          </cell>
          <cell r="J533" t="str">
            <v>Lina del Mar Florez</v>
          </cell>
        </row>
        <row r="534">
          <cell r="I534" t="str">
            <v>Que Moto S.A.S.VANTI</v>
          </cell>
          <cell r="J534" t="str">
            <v>Juan Carlos Pinilla</v>
          </cell>
        </row>
        <row r="535">
          <cell r="I535" t="str">
            <v>Ruiz Yerena Jaime EnriqueGNC</v>
          </cell>
          <cell r="J535" t="str">
            <v>Lina del Mar Florez</v>
          </cell>
        </row>
        <row r="536">
          <cell r="I536" t="str">
            <v>SABANA MOTOS DE COLOMBIA S.A.S.VANTI</v>
          </cell>
          <cell r="J536" t="str">
            <v>Juan Carlos Pinilla</v>
          </cell>
        </row>
        <row r="537">
          <cell r="I537" t="str">
            <v>SHAHARIT S A SVANTI</v>
          </cell>
          <cell r="J537" t="str">
            <v>Juan Carlos Pinilla</v>
          </cell>
        </row>
        <row r="538">
          <cell r="I538" t="str">
            <v>SODIMAC COLOMBIA SAVANTI</v>
          </cell>
          <cell r="J538" t="str">
            <v>Janneth Torres Hernandez</v>
          </cell>
        </row>
        <row r="539">
          <cell r="I539" t="str">
            <v>SODIMAC COLOMBIA SAGNCB</v>
          </cell>
          <cell r="J539" t="str">
            <v>Lina del Mar Florez</v>
          </cell>
        </row>
        <row r="540">
          <cell r="I540" t="str">
            <v>SOELCO SASGNCB</v>
          </cell>
          <cell r="J540" t="str">
            <v>Lina del Mar Florez</v>
          </cell>
        </row>
        <row r="541">
          <cell r="I541" t="str">
            <v>Sport Motos Company S.A.S.VANTI</v>
          </cell>
          <cell r="J541" t="str">
            <v>Juan Carlos Pinilla</v>
          </cell>
        </row>
        <row r="542">
          <cell r="I542" t="str">
            <v>SUEÑOS Y CONFORT S.A.SGNCB</v>
          </cell>
          <cell r="J542" t="str">
            <v>Lina del Mar Florez</v>
          </cell>
        </row>
        <row r="543">
          <cell r="I543" t="str">
            <v>TECH RED SASGNCB</v>
          </cell>
          <cell r="J543" t="str">
            <v>Lina del Mar Florez</v>
          </cell>
        </row>
        <row r="544">
          <cell r="I544" t="str">
            <v>TECH RED SASVANTI</v>
          </cell>
          <cell r="J544" t="str">
            <v>Juan Carlos Pinilla</v>
          </cell>
        </row>
        <row r="545">
          <cell r="I545" t="str">
            <v>TODOMOTOS VS S.A.S.GNC</v>
          </cell>
          <cell r="J545" t="str">
            <v>Lina del Mar Florez</v>
          </cell>
        </row>
        <row r="546">
          <cell r="I546" t="str">
            <v>TU MEJOR OFERTA SASVANTI</v>
          </cell>
          <cell r="J546" t="str">
            <v>Juan Carlos Pinilla</v>
          </cell>
        </row>
        <row r="547">
          <cell r="I547" t="str">
            <v>Ultracem S.A.S.GNC</v>
          </cell>
          <cell r="J547" t="str">
            <v>Lina del Mar Florez</v>
          </cell>
        </row>
        <row r="548">
          <cell r="I548" t="str">
            <v>Usadas Certificadas S.A.S.VANTI</v>
          </cell>
          <cell r="J548" t="str">
            <v>Juan Carlos Pinilla</v>
          </cell>
        </row>
        <row r="549">
          <cell r="I549" t="str">
            <v>Velmotor S.A.S.VANTI</v>
          </cell>
          <cell r="J549" t="str">
            <v>Juan Carlos Pinilla</v>
          </cell>
        </row>
        <row r="550">
          <cell r="I550" t="str">
            <v>Yamarinos Kasamotos S.A.S.VANTI</v>
          </cell>
          <cell r="J550" t="str">
            <v>Juan Carlos Pinilla</v>
          </cell>
        </row>
        <row r="551">
          <cell r="I551" t="str">
            <v>ZAGAMOTOS DEL PACIFICO S.A.SGNCB</v>
          </cell>
          <cell r="J551" t="str">
            <v>Lina del Mar Florez</v>
          </cell>
        </row>
        <row r="552">
          <cell r="I552" t="str">
            <v>Zeta Mobiity S.A.S.VANTI</v>
          </cell>
          <cell r="J552" t="str">
            <v>Juan Carlos Pinilla</v>
          </cell>
        </row>
        <row r="553">
          <cell r="I553" t="str">
            <v>DIAR MOTOS SAS ZOMACGNC</v>
          </cell>
          <cell r="J553" t="str">
            <v>Lina del Mar Florez</v>
          </cell>
        </row>
        <row r="554">
          <cell r="I554" t="str">
            <v>MOTOMOVIL DE COLOMBIA S.A.S.VANTI</v>
          </cell>
          <cell r="J554" t="str">
            <v>Juan Carlos Pinilla</v>
          </cell>
        </row>
        <row r="555">
          <cell r="I555" t="str">
            <v>A GAS VEHICULAR GNV SASGOR</v>
          </cell>
          <cell r="J555" t="str">
            <v>GNV</v>
          </cell>
        </row>
        <row r="556">
          <cell r="I556" t="str">
            <v>ALCA LTDAGOR</v>
          </cell>
          <cell r="J556" t="str">
            <v>Lina del Mar Florez</v>
          </cell>
        </row>
        <row r="557">
          <cell r="I557" t="str">
            <v>Alfagres S.A. - En ReorganizaciónGOR</v>
          </cell>
          <cell r="J557" t="str">
            <v>Lina del Mar Florez</v>
          </cell>
        </row>
        <row r="558">
          <cell r="I558" t="str">
            <v>ALMACENES CORONA S.A.SGOR</v>
          </cell>
          <cell r="J558" t="str">
            <v>Lina del Mar Florez</v>
          </cell>
        </row>
        <row r="559">
          <cell r="I559" t="str">
            <v>ALMACENES EXITO S A 2VANTI</v>
          </cell>
          <cell r="J559" t="str">
            <v>Janneth Torres Hernandez</v>
          </cell>
        </row>
        <row r="560">
          <cell r="I560" t="str">
            <v>ALONDRA MUEBLES Y COLCHONES S.A.SGOR</v>
          </cell>
          <cell r="J560" t="str">
            <v>Lina del Mar Florez</v>
          </cell>
        </row>
        <row r="561">
          <cell r="I561" t="str">
            <v>AMBIENTES CERAMICOS LTDAGOR</v>
          </cell>
          <cell r="J561" t="str">
            <v>Lina del Mar Florez</v>
          </cell>
        </row>
        <row r="562">
          <cell r="I562" t="str">
            <v>AR CAPITAL SASGOR</v>
          </cell>
          <cell r="J562" t="str">
            <v>Firma Instaladora</v>
          </cell>
        </row>
        <row r="563">
          <cell r="I563" t="str">
            <v>AUTOGASCOL LTDAGOR</v>
          </cell>
          <cell r="J563" t="str">
            <v>GNV</v>
          </cell>
        </row>
        <row r="564">
          <cell r="I564" t="str">
            <v>BUCARGAS GNV SASGOR</v>
          </cell>
          <cell r="J564" t="str">
            <v>GNV</v>
          </cell>
        </row>
        <row r="565">
          <cell r="I565" t="str">
            <v>CAMACHO SUAREZ NELSON DAMIANGOR</v>
          </cell>
          <cell r="J565" t="str">
            <v>Lina del Mar Florez</v>
          </cell>
        </row>
        <row r="566">
          <cell r="I566" t="str">
            <v>CARCO - SEVE SOCIEDAD POR ACCIONES SIMPLIFICADA S.A.S.GOR</v>
          </cell>
          <cell r="J566" t="str">
            <v>Lina del Mar Florez</v>
          </cell>
        </row>
        <row r="567">
          <cell r="I567" t="str">
            <v>CENCOSUD COLOMBIA S.AGOR</v>
          </cell>
          <cell r="J567" t="str">
            <v>Lina del Mar Florez</v>
          </cell>
        </row>
        <row r="568">
          <cell r="I568" t="str">
            <v>CENTRALMOTOS LEBRIJA S.A.S.GOR</v>
          </cell>
          <cell r="J568" t="str">
            <v>Lina del Mar Florez</v>
          </cell>
        </row>
        <row r="569">
          <cell r="I569" t="str">
            <v>CHALLENGER S.A.GOR</v>
          </cell>
          <cell r="J569" t="str">
            <v>Seller</v>
          </cell>
        </row>
        <row r="570">
          <cell r="I570" t="str">
            <v>CHINCHILLA SANTIAGO MILDREDGOR</v>
          </cell>
          <cell r="J570" t="str">
            <v>Lina del Mar Florez</v>
          </cell>
        </row>
        <row r="571">
          <cell r="I571" t="str">
            <v>CHP MATERIALES PARA CONTRUCCION S.A.S.GOR</v>
          </cell>
          <cell r="J571" t="str">
            <v>Lina del Mar Florez</v>
          </cell>
        </row>
        <row r="572">
          <cell r="I572" t="str">
            <v>Cimaxcol S.A.S.GOR</v>
          </cell>
          <cell r="J572" t="str">
            <v>Lina del Mar Florez</v>
          </cell>
        </row>
        <row r="573">
          <cell r="I573" t="str">
            <v>COL HOGAR 1 S A SGOR</v>
          </cell>
          <cell r="J573" t="str">
            <v>Lina del Mar Florez</v>
          </cell>
        </row>
        <row r="574">
          <cell r="I574" t="str">
            <v>COLCHONES EL DORADO SAGOR</v>
          </cell>
          <cell r="J574" t="str">
            <v>Lina del Mar Florez</v>
          </cell>
        </row>
        <row r="575">
          <cell r="I575" t="str">
            <v>COLOMBIA GAS VEHICULAR LTDAGOR</v>
          </cell>
          <cell r="J575" t="str">
            <v>GNV</v>
          </cell>
        </row>
        <row r="576">
          <cell r="I576" t="str">
            <v>Comercializadora ElecktroasGOR</v>
          </cell>
          <cell r="J576" t="str">
            <v>Lina del Mar Florez</v>
          </cell>
        </row>
        <row r="577">
          <cell r="I577" t="str">
            <v>COMPAÑÍA COLOMBIANA DE CERAMICA SASGOR</v>
          </cell>
          <cell r="J577" t="str">
            <v>Lina del Mar Florez</v>
          </cell>
        </row>
        <row r="578">
          <cell r="I578" t="str">
            <v>CONTROL METROLOGICICO Y GAS SASGOR</v>
          </cell>
          <cell r="J578" t="str">
            <v>GNV</v>
          </cell>
        </row>
        <row r="579">
          <cell r="I579" t="str">
            <v>COOPERATIVA MULTIACTIVA DE LOS TRABAJADORES DE SANTANDER GOR</v>
          </cell>
          <cell r="J579" t="str">
            <v>Lina del Mar Florez</v>
          </cell>
        </row>
        <row r="580">
          <cell r="I580" t="str">
            <v>Credimotos de Colombia S.A.S.GOR</v>
          </cell>
          <cell r="J580" t="str">
            <v>Lina del Mar Florez</v>
          </cell>
        </row>
        <row r="581">
          <cell r="I581" t="str">
            <v>DIGITALTECH S.A.SGOR</v>
          </cell>
          <cell r="J581" t="str">
            <v>Lina del Mar Florez</v>
          </cell>
        </row>
        <row r="582">
          <cell r="I582" t="str">
            <v>DISMERCA SASGOR</v>
          </cell>
          <cell r="J582" t="str">
            <v>Lina del Mar Florez</v>
          </cell>
        </row>
        <row r="583">
          <cell r="I583" t="str">
            <v>DISTRIBUCIONES COLOMBIA SASGOR</v>
          </cell>
          <cell r="J583" t="str">
            <v>Lina del Mar Florez</v>
          </cell>
        </row>
        <row r="584">
          <cell r="I584" t="str">
            <v>DISTRIBUCIONES EDSOVA S.A.S.GOR</v>
          </cell>
          <cell r="J584" t="str">
            <v>Lina del Mar Florez</v>
          </cell>
        </row>
        <row r="585">
          <cell r="I585" t="str">
            <v>DISTRIBUIDORA RAYCO SASGOR</v>
          </cell>
          <cell r="J585" t="str">
            <v>Lina del Mar Florez</v>
          </cell>
        </row>
        <row r="586">
          <cell r="I586" t="str">
            <v>DISTRIFER S.A.S.GOR</v>
          </cell>
          <cell r="J586" t="str">
            <v>Lina del Mar Florez</v>
          </cell>
        </row>
        <row r="587">
          <cell r="I587" t="str">
            <v>DISTRIMOTOS DE COLOMBIA S.A.SGOR</v>
          </cell>
          <cell r="J587" t="str">
            <v>Lina del Mar Florez</v>
          </cell>
        </row>
        <row r="588">
          <cell r="I588" t="str">
            <v>DIVERXA S.A.SGOR</v>
          </cell>
          <cell r="J588" t="str">
            <v>Lina del Mar Florez</v>
          </cell>
        </row>
        <row r="589">
          <cell r="I589" t="str">
            <v>EXPERTOS MANTENIMIENTOS Y REPARACIONES SASGOR</v>
          </cell>
          <cell r="J589" t="str">
            <v>Firma Instaladora</v>
          </cell>
        </row>
        <row r="590">
          <cell r="I590" t="str">
            <v>FRATELLI COLOMBIA SASGOR</v>
          </cell>
          <cell r="J590" t="str">
            <v>Lina del Mar Florez</v>
          </cell>
        </row>
        <row r="591">
          <cell r="I591" t="str">
            <v>G. C. INGENIERIA HIDRAULICA Y GAS S.A.S.GOR</v>
          </cell>
          <cell r="J591" t="str">
            <v>Firma Instaladora</v>
          </cell>
        </row>
        <row r="592">
          <cell r="I592" t="str">
            <v>GARCIA FUENTES CARLOS ANDRESGOR</v>
          </cell>
          <cell r="J592" t="str">
            <v>GNV</v>
          </cell>
        </row>
        <row r="593">
          <cell r="I593" t="str">
            <v>GELVER ANTONIO ORTEGA SANCHEZGOR</v>
          </cell>
          <cell r="J593" t="str">
            <v>Lina del Mar Florez</v>
          </cell>
        </row>
        <row r="594">
          <cell r="I594" t="str">
            <v>GLOBAL DANACOR S.A.S GOR</v>
          </cell>
          <cell r="J594" t="str">
            <v>Lina del Mar Florez</v>
          </cell>
        </row>
        <row r="595">
          <cell r="I595" t="str">
            <v>GNP GRUPO NACIONAL DE PROYECTOS S A SGOR</v>
          </cell>
          <cell r="J595" t="str">
            <v>Lina del Mar Florez</v>
          </cell>
        </row>
        <row r="596">
          <cell r="I596" t="str">
            <v>GRUPO KASAMIA S A SGOR</v>
          </cell>
          <cell r="J596" t="str">
            <v>Lina del Mar Florez</v>
          </cell>
        </row>
        <row r="597">
          <cell r="I597" t="str">
            <v>Grupo UMA S.A.S.GOR</v>
          </cell>
          <cell r="J597" t="str">
            <v>Lina del Mar Florez</v>
          </cell>
        </row>
        <row r="598">
          <cell r="I598" t="str">
            <v>Higinio CamachoGOR</v>
          </cell>
          <cell r="J598" t="str">
            <v>Lina del Mar Florez</v>
          </cell>
        </row>
        <row r="599">
          <cell r="I599" t="str">
            <v>HIPERMERCADO CENTRAL DE ELECTRODOMESTICOS S.A.S HICEL S.A.SGNCB</v>
          </cell>
          <cell r="J599" t="str">
            <v>Juan Carlos Pinilla</v>
          </cell>
        </row>
        <row r="600">
          <cell r="I600" t="str">
            <v>HL GAS SASGOR</v>
          </cell>
          <cell r="J600" t="str">
            <v>GNV</v>
          </cell>
        </row>
        <row r="601">
          <cell r="I601" t="str">
            <v>IMPORTACIONES NISUTA S.A.SGOR</v>
          </cell>
          <cell r="J601" t="str">
            <v>Lina del Mar Florez</v>
          </cell>
        </row>
        <row r="602">
          <cell r="I602" t="str">
            <v>INACSA S.A.SGOR</v>
          </cell>
          <cell r="J602" t="str">
            <v>Lina del Mar Florez</v>
          </cell>
        </row>
        <row r="603">
          <cell r="I603" t="str">
            <v>INDUSTRIAS HACEB S.AGOR</v>
          </cell>
          <cell r="J603" t="str">
            <v>Seller</v>
          </cell>
        </row>
        <row r="604">
          <cell r="I604" t="str">
            <v>INVERSIONES INNOVAR DE COLOMBIA SAGOR</v>
          </cell>
          <cell r="J604" t="str">
            <v>Lina del Mar Florez</v>
          </cell>
        </row>
        <row r="605">
          <cell r="I605" t="str">
            <v>INVERSIONES VARGAS &amp; GAFARO S.A.SGOR</v>
          </cell>
          <cell r="J605" t="str">
            <v>Lina del Mar Florez</v>
          </cell>
        </row>
        <row r="606">
          <cell r="I606" t="str">
            <v>Ivan Botero Gomez S.A.GOR</v>
          </cell>
          <cell r="J606" t="str">
            <v>Lina del Mar Florez</v>
          </cell>
        </row>
        <row r="607">
          <cell r="I607" t="str">
            <v>Iván David Cadena Burgos GOR</v>
          </cell>
          <cell r="J607" t="str">
            <v>Lina del Mar Florez</v>
          </cell>
        </row>
        <row r="608">
          <cell r="I608" t="str">
            <v>LUIS NAPOLEON CALDERON MENDOZAGOR</v>
          </cell>
          <cell r="J608" t="str">
            <v>Lina del Mar Florez</v>
          </cell>
        </row>
        <row r="609">
          <cell r="I609" t="str">
            <v>M&amp;F SUPER GAS SASGOR</v>
          </cell>
          <cell r="J609" t="str">
            <v>Lina del Mar Florez</v>
          </cell>
        </row>
        <row r="610">
          <cell r="I610" t="str">
            <v>Masda S.A.S.GOR</v>
          </cell>
          <cell r="J610" t="str">
            <v>Lina del Mar Florez</v>
          </cell>
        </row>
        <row r="611">
          <cell r="I611" t="str">
            <v>MAXICASSA SASGOR</v>
          </cell>
          <cell r="J611" t="str">
            <v>Lina del Mar Florez</v>
          </cell>
        </row>
        <row r="612">
          <cell r="I612" t="str">
            <v>METRO CYCLES S.A.S.GOR</v>
          </cell>
          <cell r="J612" t="str">
            <v>Lina del Mar Florez</v>
          </cell>
        </row>
        <row r="613">
          <cell r="I613" t="str">
            <v>Moto Auto Store S.A.S.GOR</v>
          </cell>
          <cell r="J613" t="str">
            <v>Lina del Mar Florez</v>
          </cell>
        </row>
        <row r="614">
          <cell r="I614" t="str">
            <v>Moto Xtreme Hero S.A.S.GOR</v>
          </cell>
          <cell r="J614" t="str">
            <v>Lina del Mar Florez</v>
          </cell>
        </row>
        <row r="615">
          <cell r="I615" t="str">
            <v>MOTOGOLD SASGOR</v>
          </cell>
          <cell r="J615" t="str">
            <v>Lina del Mar Florez</v>
          </cell>
        </row>
        <row r="616">
          <cell r="I616" t="str">
            <v>MOTOZONA SASGOR</v>
          </cell>
          <cell r="J616" t="str">
            <v>Lina del Mar Florez</v>
          </cell>
        </row>
        <row r="617">
          <cell r="I617" t="str">
            <v>Mundo Cross Bogotá S.A.S.GOR</v>
          </cell>
          <cell r="J617" t="str">
            <v>Lina del Mar Florez</v>
          </cell>
        </row>
        <row r="618">
          <cell r="I618" t="str">
            <v>Orlando Donado &amp; Compañía S.A.S.GOR</v>
          </cell>
          <cell r="J618" t="str">
            <v>Lina del Mar Florez</v>
          </cell>
        </row>
        <row r="619">
          <cell r="I619" t="str">
            <v>PROYECTO E INVERSIONES GIRONA SASGOR</v>
          </cell>
          <cell r="J619" t="str">
            <v>Lina del Mar Florez</v>
          </cell>
        </row>
        <row r="620">
          <cell r="I620" t="str">
            <v>R&amp;R MOTOSGOR</v>
          </cell>
          <cell r="J620" t="str">
            <v>Lina del Mar Florez</v>
          </cell>
        </row>
        <row r="621">
          <cell r="I621" t="str">
            <v>ROBERT BOSCH LTDAGOR</v>
          </cell>
          <cell r="J621" t="str">
            <v>Seller</v>
          </cell>
        </row>
        <row r="622">
          <cell r="I622" t="str">
            <v>Sergas Colombia SASGOR</v>
          </cell>
          <cell r="J622" t="str">
            <v>Firma Instaladora</v>
          </cell>
        </row>
        <row r="623">
          <cell r="I623" t="str">
            <v>SERVIGAS  CARS SASGOR</v>
          </cell>
          <cell r="J623" t="str">
            <v>GNV</v>
          </cell>
        </row>
        <row r="624">
          <cell r="I624" t="str">
            <v>SERVIGAS CARS SASGOR</v>
          </cell>
          <cell r="J624" t="str">
            <v>GNV</v>
          </cell>
        </row>
        <row r="625">
          <cell r="I625" t="str">
            <v>SHAHARIT S A SGOR</v>
          </cell>
          <cell r="J625" t="str">
            <v>Lina del Mar Florez</v>
          </cell>
        </row>
        <row r="626">
          <cell r="I626" t="str">
            <v>Supercross LtdaGOR</v>
          </cell>
          <cell r="J626" t="str">
            <v>Lina del Mar Florez</v>
          </cell>
        </row>
        <row r="627">
          <cell r="I627" t="str">
            <v>SYC SERTEG SASGOR</v>
          </cell>
          <cell r="J627" t="str">
            <v>Firma Instaladora</v>
          </cell>
        </row>
        <row r="628">
          <cell r="I628" t="str">
            <v>TECH RED SASGOR</v>
          </cell>
          <cell r="J628" t="str">
            <v>Lina del Mar Florez</v>
          </cell>
        </row>
        <row r="629">
          <cell r="I629" t="str">
            <v>TODOMOTOS VS S.A.S.GOR</v>
          </cell>
          <cell r="J629" t="str">
            <v>Lina del Mar Florez</v>
          </cell>
        </row>
        <row r="630">
          <cell r="I630" t="str">
            <v>TOQUE DE HOGAR SASGOR</v>
          </cell>
          <cell r="J630" t="str">
            <v>Firma Instaladora</v>
          </cell>
        </row>
        <row r="631">
          <cell r="I631" t="str">
            <v>Ultracem S.A.S.GOR</v>
          </cell>
          <cell r="J631" t="str">
            <v>Lina del Mar Florez</v>
          </cell>
        </row>
        <row r="632">
          <cell r="I632" t="str">
            <v>AGRO HONDA LA S.A.SGOR</v>
          </cell>
          <cell r="J632" t="str">
            <v>Lina del Mar Florez</v>
          </cell>
        </row>
        <row r="633">
          <cell r="I633" t="str">
            <v>ALDIA SASGOR</v>
          </cell>
          <cell r="J633" t="str">
            <v>Lina del Mar Florez</v>
          </cell>
        </row>
        <row r="634">
          <cell r="I634" t="str">
            <v>ALMACENES EXITO S AGOR</v>
          </cell>
          <cell r="J634" t="str">
            <v>Lina del Mar Florez</v>
          </cell>
        </row>
        <row r="635">
          <cell r="I635" t="str">
            <v>ASYCO SASGOR</v>
          </cell>
          <cell r="J635" t="str">
            <v>Lina del Mar Florez</v>
          </cell>
        </row>
        <row r="636">
          <cell r="I636" t="str">
            <v>AUTECO S.A.S.GOR</v>
          </cell>
          <cell r="J636" t="str">
            <v>Lina del Mar Florez</v>
          </cell>
        </row>
        <row r="637">
          <cell r="I637" t="str">
            <v>CHACAM TRADING SASGOR</v>
          </cell>
          <cell r="J637" t="str">
            <v>Lina del Mar Florez</v>
          </cell>
        </row>
        <row r="638">
          <cell r="I638" t="str">
            <v>COLOMBIANA DE COMERCIOGOR</v>
          </cell>
          <cell r="J638" t="str">
            <v>Lina del Mar Florez</v>
          </cell>
        </row>
        <row r="639">
          <cell r="I639" t="str">
            <v>COMERCIAL MEYER CESAR S.A.S ZOMACGOR</v>
          </cell>
          <cell r="J639" t="str">
            <v>Lina del Mar Florez</v>
          </cell>
        </row>
        <row r="640">
          <cell r="I640" t="str">
            <v>COMPAÑÍA DE SERVICIOS ARENAS ROJAS SASGOR</v>
          </cell>
          <cell r="J640" t="str">
            <v>Lina del Mar Florez</v>
          </cell>
        </row>
        <row r="641">
          <cell r="I641" t="str">
            <v>Credimovil de Colombia S.A.S.GOR</v>
          </cell>
          <cell r="J641" t="str">
            <v>Lina del Mar Florez</v>
          </cell>
        </row>
        <row r="642">
          <cell r="I642" t="str">
            <v>Distribuidora Motocentro S.A.SGOR</v>
          </cell>
          <cell r="J642" t="str">
            <v>Lina del Mar Florez</v>
          </cell>
        </row>
        <row r="643">
          <cell r="I643" t="str">
            <v>DISTRIBUIDORA REX S.A.S.GOR</v>
          </cell>
          <cell r="J643" t="str">
            <v>Lina del Mar Florez</v>
          </cell>
        </row>
        <row r="644">
          <cell r="I644" t="str">
            <v>ELECTRO AO S.A.SGOR</v>
          </cell>
          <cell r="J644" t="str">
            <v>Lina del Mar Florez</v>
          </cell>
        </row>
        <row r="645">
          <cell r="I645" t="str">
            <v>GRUPO FERRETERO F.C. S.A.S.GOR</v>
          </cell>
          <cell r="J645" t="str">
            <v>Lina del Mar Florez</v>
          </cell>
        </row>
        <row r="646">
          <cell r="I646" t="str">
            <v>GRUPO MERPES S.A.SGOR</v>
          </cell>
          <cell r="J646" t="str">
            <v>Lina del Mar Florez</v>
          </cell>
        </row>
        <row r="647">
          <cell r="I647" t="str">
            <v>Grupo Supermotos S.A.S.GOR</v>
          </cell>
          <cell r="J647" t="str">
            <v>Lina del Mar Florez</v>
          </cell>
        </row>
        <row r="648">
          <cell r="I648" t="str">
            <v>HENRY ALEXANDER MARTINEZ HERNANDEZ - HENRYMOTOS2GOR</v>
          </cell>
          <cell r="J648" t="str">
            <v>Lina del Mar Florez</v>
          </cell>
        </row>
        <row r="649">
          <cell r="I649" t="str">
            <v>HMCL COLOMBIA S.A.S.GOR</v>
          </cell>
          <cell r="J649" t="str">
            <v>Lina del Mar Florez</v>
          </cell>
        </row>
        <row r="650">
          <cell r="I650" t="str">
            <v>INVERSIONES ARENAS SERRANO S.A.S.GOR</v>
          </cell>
          <cell r="J650" t="str">
            <v>Lina del Mar Florez</v>
          </cell>
        </row>
        <row r="651">
          <cell r="I651" t="str">
            <v>MASERVINOX SAS MANTENIMIENTO SERVICIOS INOXIDABLEGOR</v>
          </cell>
          <cell r="J651" t="str">
            <v>Lina del Mar Florez</v>
          </cell>
        </row>
        <row r="652">
          <cell r="I652" t="str">
            <v>MAXIMUEBLES JC SASGOR</v>
          </cell>
          <cell r="J652" t="str">
            <v>Lina del Mar Florez</v>
          </cell>
        </row>
        <row r="653">
          <cell r="I653" t="str">
            <v>Mercamotos Santander SASGOR</v>
          </cell>
          <cell r="J653" t="str">
            <v>Lina del Mar Florez</v>
          </cell>
        </row>
        <row r="654">
          <cell r="I654" t="str">
            <v>Motored de Colombia S.A.S.GOR</v>
          </cell>
          <cell r="J654" t="str">
            <v>Lina del Mar Florez</v>
          </cell>
        </row>
        <row r="655">
          <cell r="I655" t="str">
            <v>MOTORIENTE BUCARAMANGA LTDA.GOR</v>
          </cell>
          <cell r="J655" t="str">
            <v>Lina del Mar Florez</v>
          </cell>
        </row>
        <row r="656">
          <cell r="I656" t="str">
            <v>Motos y MotosGOR</v>
          </cell>
          <cell r="J656" t="str">
            <v>Lina del Mar Florez</v>
          </cell>
        </row>
        <row r="657">
          <cell r="I657" t="str">
            <v>Multintegral SASGOR</v>
          </cell>
          <cell r="J657" t="str">
            <v>Lina del Mar Florez</v>
          </cell>
        </row>
        <row r="658">
          <cell r="I658" t="str">
            <v>MUNDO CROSS LTDAGOR</v>
          </cell>
          <cell r="J658" t="str">
            <v>Lina del Mar Florez</v>
          </cell>
        </row>
        <row r="659">
          <cell r="I659" t="str">
            <v>NELSON HEREDIA VARGASGOR</v>
          </cell>
          <cell r="J659" t="str">
            <v>Lina del Mar Florez</v>
          </cell>
        </row>
        <row r="660">
          <cell r="I660" t="str">
            <v>PISOS Y ENCHAPES RYL SASGOR</v>
          </cell>
          <cell r="J660" t="str">
            <v>Lina del Mar Florez</v>
          </cell>
        </row>
        <row r="661">
          <cell r="I661" t="str">
            <v>PUNTO CENTER S.A.SGOR</v>
          </cell>
          <cell r="J661" t="str">
            <v>Lina del Mar Florez</v>
          </cell>
        </row>
        <row r="662">
          <cell r="I662" t="str">
            <v>Ricardo Ortiz RamírezGOR</v>
          </cell>
          <cell r="J662" t="str">
            <v>Lina del Mar Florez</v>
          </cell>
        </row>
        <row r="663">
          <cell r="I663" t="str">
            <v>SODIMAC COLOMBIA SAGOR</v>
          </cell>
          <cell r="J663" t="str">
            <v>Lina del Mar Florez</v>
          </cell>
        </row>
        <row r="664">
          <cell r="I664" t="str">
            <v>Son Motos S.A.S.GOR</v>
          </cell>
          <cell r="J664" t="str">
            <v>Lina del Mar Florez</v>
          </cell>
        </row>
        <row r="665">
          <cell r="I665" t="str">
            <v>SU MOTO DEL MAGDALENA S.A.SGOR</v>
          </cell>
          <cell r="J665" t="str">
            <v>Lina del Mar Florez</v>
          </cell>
        </row>
        <row r="666">
          <cell r="I666" t="str">
            <v>VICTOR MOTOS SASGOR</v>
          </cell>
          <cell r="J666" t="str">
            <v>Lina del Mar Florez</v>
          </cell>
        </row>
        <row r="667">
          <cell r="I667" t="str">
            <v>RHEEM COLOMBIA S.A.S.GOR</v>
          </cell>
          <cell r="J667" t="str">
            <v>Seller</v>
          </cell>
        </row>
        <row r="668">
          <cell r="I668" t="str">
            <v>GRUPO MANSION S.A.S.GOR</v>
          </cell>
          <cell r="J668" t="str">
            <v>Lina del Mar Florez</v>
          </cell>
        </row>
        <row r="669">
          <cell r="I669" t="str">
            <v>MAS MOTOS MAS REPUESTOSGNC</v>
          </cell>
          <cell r="J669" t="str">
            <v>Lina del Mar Florez</v>
          </cell>
        </row>
        <row r="670">
          <cell r="I670" t="str">
            <v>FERRE-TODO S.A.SGNC</v>
          </cell>
          <cell r="J670" t="str">
            <v>Lina del Mar Florez</v>
          </cell>
        </row>
        <row r="671">
          <cell r="I671" t="str">
            <v>COMERCIAL MEYER CESAR S.A.S ZOMACVANTI</v>
          </cell>
          <cell r="J671" t="str">
            <v>Lina del Mar Florez</v>
          </cell>
        </row>
        <row r="672">
          <cell r="I672" t="str">
            <v>COMUNICACIONES M &amp; P SASVANTI</v>
          </cell>
          <cell r="J672" t="str">
            <v>Lina del Mar Florez</v>
          </cell>
        </row>
        <row r="673">
          <cell r="I673" t="str">
            <v>ELECTROFERIA DE LA CARRERA 13 SASGNC</v>
          </cell>
          <cell r="J673" t="str">
            <v>Juan Carlos Pinilla</v>
          </cell>
        </row>
        <row r="674">
          <cell r="I674" t="str">
            <v>MOTOS DEL SUR BOGOTA SASGNC</v>
          </cell>
          <cell r="J674" t="str">
            <v>Juan Carlos Pinilla</v>
          </cell>
        </row>
        <row r="675">
          <cell r="I675" t="str">
            <v>Motos del Camino S.A.S.GNC</v>
          </cell>
          <cell r="J675" t="str">
            <v>Juan Carlos Pinilla</v>
          </cell>
        </row>
        <row r="676">
          <cell r="I676" t="str">
            <v>INVERSIONES VARGAS &amp; GAFARO S.A.SVANTI</v>
          </cell>
          <cell r="J676" t="str">
            <v>Lina del Mar Florez</v>
          </cell>
        </row>
        <row r="677">
          <cell r="I677" t="str">
            <v>KORATTI S.A.S.VANTI</v>
          </cell>
          <cell r="J677" t="str">
            <v>Lina del Mar Florez</v>
          </cell>
        </row>
        <row r="678">
          <cell r="I678" t="str">
            <v>NOGO BOYACA LIMITADAGNCB</v>
          </cell>
          <cell r="J678" t="str">
            <v>Lina del Mar Florez</v>
          </cell>
        </row>
        <row r="679">
          <cell r="I679" t="str">
            <v>MOTORACING DE COLOMBIA S.A.S.GOR</v>
          </cell>
          <cell r="J679" t="str">
            <v>Lina del Mar Florez</v>
          </cell>
        </row>
        <row r="680">
          <cell r="I680" t="str">
            <v>DISTRIBUIDORA EL HUECO S.A.SGOR</v>
          </cell>
          <cell r="J680" t="str">
            <v>Lina del Mar Florez</v>
          </cell>
        </row>
        <row r="681">
          <cell r="I681" t="str">
            <v>Iván David Cadena Burgos GNC</v>
          </cell>
          <cell r="J681" t="str">
            <v>Lina del Mar Florez</v>
          </cell>
        </row>
        <row r="682">
          <cell r="I682" t="str">
            <v>ALBEIRO CANO TOROVANTI</v>
          </cell>
          <cell r="J682" t="str">
            <v>Juan Carlos Pinilla</v>
          </cell>
        </row>
        <row r="683">
          <cell r="I683" t="str">
            <v>MOTOMOVIL DE COLOMBIA S.A.S.GNCB</v>
          </cell>
          <cell r="J683" t="str">
            <v>Lina del Mar Florez</v>
          </cell>
        </row>
        <row r="684">
          <cell r="I684" t="str">
            <v>MOTOS DE LA BOYACA SASGOR</v>
          </cell>
          <cell r="J684" t="str">
            <v>Lina del Mar Florez</v>
          </cell>
        </row>
        <row r="685">
          <cell r="I685" t="str">
            <v>SOCODA S.A.S.GNCB</v>
          </cell>
          <cell r="J685" t="str">
            <v>Lina del Mar Florez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F876-3211-475F-AF39-6E77C20D12B5}">
  <dimension ref="A1:K68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/>
  <cols>
    <col min="1" max="1" width="68.5546875" customWidth="1"/>
    <col min="2" max="2" width="53.21875" customWidth="1"/>
    <col min="3" max="3" width="17" bestFit="1" customWidth="1"/>
    <col min="4" max="5" width="51" customWidth="1"/>
    <col min="6" max="6" width="11.6640625" customWidth="1"/>
    <col min="7" max="7" width="28.5546875" customWidth="1"/>
    <col min="8" max="8" width="23.33203125" customWidth="1"/>
    <col min="9" max="9" width="93.6640625" bestFit="1" customWidth="1"/>
    <col min="10" max="10" width="46.88671875" customWidth="1"/>
    <col min="11" max="11" width="38.109375" customWidth="1"/>
  </cols>
  <sheetData>
    <row r="1" spans="1:11">
      <c r="A1" s="12" t="s">
        <v>368</v>
      </c>
      <c r="B1" s="12" t="s">
        <v>369</v>
      </c>
      <c r="C1" t="s">
        <v>0</v>
      </c>
      <c r="D1" t="s">
        <v>1</v>
      </c>
      <c r="F1" t="s">
        <v>2</v>
      </c>
      <c r="G1" t="s">
        <v>3</v>
      </c>
      <c r="H1" t="s">
        <v>4</v>
      </c>
      <c r="I1" t="s">
        <v>346</v>
      </c>
      <c r="J1" s="15" t="s">
        <v>688</v>
      </c>
      <c r="K1" t="s">
        <v>691</v>
      </c>
    </row>
    <row r="2" spans="1:11">
      <c r="A2" t="s">
        <v>370</v>
      </c>
      <c r="B2" s="14">
        <v>1002963214</v>
      </c>
      <c r="C2" t="s">
        <v>5</v>
      </c>
      <c r="D2" t="s">
        <v>343</v>
      </c>
      <c r="E2" t="s">
        <v>371</v>
      </c>
      <c r="F2" t="s">
        <v>12</v>
      </c>
      <c r="G2" t="s">
        <v>15</v>
      </c>
      <c r="H2" t="s">
        <v>16</v>
      </c>
      <c r="I2" t="str">
        <f>D2&amp;F2</f>
        <v>MAS MOTOS MAS REPUESTOSGNCB</v>
      </c>
      <c r="J2" t="str">
        <f>VLOOKUP(I2,[1]Base!$I:$J,2,0)</f>
        <v>Lina del Mar Florez</v>
      </c>
    </row>
    <row r="3" spans="1:11">
      <c r="A3" t="s">
        <v>714</v>
      </c>
      <c r="B3" s="14" t="s">
        <v>942</v>
      </c>
      <c r="C3" t="s">
        <v>5</v>
      </c>
      <c r="D3" t="s">
        <v>340</v>
      </c>
      <c r="E3" t="s">
        <v>372</v>
      </c>
      <c r="F3" t="s">
        <v>6</v>
      </c>
      <c r="G3" t="s">
        <v>22</v>
      </c>
      <c r="H3" t="s">
        <v>22</v>
      </c>
      <c r="I3" t="str">
        <f t="shared" ref="I3:I66" si="0">D3&amp;F3</f>
        <v>4 EN MOVIMIENTO SASVANTI</v>
      </c>
      <c r="J3" t="str">
        <f>VLOOKUP(I3,[1]Base!$I:$J,2,0)</f>
        <v>Juan Carlos Pinilla</v>
      </c>
    </row>
    <row r="4" spans="1:11">
      <c r="A4" t="s">
        <v>714</v>
      </c>
      <c r="B4" s="14" t="s">
        <v>942</v>
      </c>
      <c r="C4" t="s">
        <v>5</v>
      </c>
      <c r="D4" t="s">
        <v>340</v>
      </c>
      <c r="E4" t="s">
        <v>372</v>
      </c>
      <c r="F4" t="s">
        <v>12</v>
      </c>
      <c r="G4" t="s">
        <v>22</v>
      </c>
      <c r="H4" t="s">
        <v>16</v>
      </c>
      <c r="I4" t="str">
        <f t="shared" si="0"/>
        <v>4 EN MOVIMIENTO SASGNCB</v>
      </c>
      <c r="J4" t="str">
        <f>VLOOKUP(I4,[1]Base!$I:$J,2,0)</f>
        <v>Lina del Mar Florez</v>
      </c>
    </row>
    <row r="5" spans="1:11">
      <c r="B5" s="14" t="e">
        <v>#N/A</v>
      </c>
      <c r="C5" t="s">
        <v>297</v>
      </c>
      <c r="D5" t="s">
        <v>207</v>
      </c>
      <c r="E5" t="s">
        <v>373</v>
      </c>
      <c r="F5" t="s">
        <v>6</v>
      </c>
      <c r="G5" t="s">
        <v>208</v>
      </c>
      <c r="H5" t="s">
        <v>208</v>
      </c>
      <c r="I5" t="str">
        <f t="shared" si="0"/>
        <v>ABASTECIMIENTO, ASESORIAS Y ACOMPAÑAMIENTO GAS NATURAL SAS / AAA GAS NATURAL SAS VANTI</v>
      </c>
      <c r="J5" t="str">
        <f>VLOOKUP(I5,[1]Base!$I:$J,2,0)</f>
        <v>Firma Instaladora</v>
      </c>
    </row>
    <row r="6" spans="1:11">
      <c r="B6" s="14" t="e">
        <v>#N/A</v>
      </c>
      <c r="C6" t="s">
        <v>297</v>
      </c>
      <c r="D6" t="s">
        <v>298</v>
      </c>
      <c r="E6" t="s">
        <v>521</v>
      </c>
      <c r="F6" t="s">
        <v>6</v>
      </c>
      <c r="G6" t="s">
        <v>208</v>
      </c>
      <c r="H6" t="s">
        <v>208</v>
      </c>
      <c r="I6" t="str">
        <f t="shared" si="0"/>
        <v>AC INGENIERIA E INTERVENTORIA DE GAS S.A.SVANTI</v>
      </c>
      <c r="J6" t="str">
        <f>VLOOKUP(I6,[1]Base!$I:$J,2,0)</f>
        <v>Firma Instaladora</v>
      </c>
    </row>
    <row r="7" spans="1:11">
      <c r="B7" s="14" t="e">
        <v>#N/A</v>
      </c>
      <c r="C7" t="s">
        <v>297</v>
      </c>
      <c r="D7" t="s">
        <v>298</v>
      </c>
      <c r="E7" t="s">
        <v>521</v>
      </c>
      <c r="F7" t="s">
        <v>12</v>
      </c>
      <c r="G7" t="s">
        <v>208</v>
      </c>
      <c r="H7" t="s">
        <v>208</v>
      </c>
      <c r="I7" t="str">
        <f t="shared" si="0"/>
        <v>AC INGENIERIA E INTERVENTORIA DE GAS S.A.SGNCB</v>
      </c>
      <c r="J7" t="str">
        <f>VLOOKUP(I7,[1]Base!$I:$J,2,0)</f>
        <v>Firma Instaladora</v>
      </c>
    </row>
    <row r="8" spans="1:11">
      <c r="A8" t="s">
        <v>715</v>
      </c>
      <c r="B8" s="14">
        <v>1002915906</v>
      </c>
      <c r="C8" t="s">
        <v>5</v>
      </c>
      <c r="D8" t="s">
        <v>209</v>
      </c>
      <c r="E8" t="s">
        <v>549</v>
      </c>
      <c r="F8" t="s">
        <v>6</v>
      </c>
      <c r="G8" t="s">
        <v>22</v>
      </c>
      <c r="H8" t="s">
        <v>22</v>
      </c>
      <c r="I8" t="str">
        <f t="shared" si="0"/>
        <v>Activos DZ S.A.S.VANTI</v>
      </c>
      <c r="J8" t="str">
        <f>VLOOKUP(I8,[1]Base!$I:$J,2,0)</f>
        <v>Juan Carlos Pinilla</v>
      </c>
    </row>
    <row r="9" spans="1:11">
      <c r="A9" t="s">
        <v>716</v>
      </c>
      <c r="B9" s="14">
        <v>1003052218</v>
      </c>
      <c r="C9" t="s">
        <v>8</v>
      </c>
      <c r="D9" t="s">
        <v>219</v>
      </c>
      <c r="E9" t="s">
        <v>550</v>
      </c>
      <c r="F9" t="s">
        <v>6</v>
      </c>
      <c r="G9" t="s">
        <v>336</v>
      </c>
      <c r="H9" t="s">
        <v>336</v>
      </c>
      <c r="I9" t="str">
        <f t="shared" si="0"/>
        <v>ADIELA DE LOMBANA S.AVANTI</v>
      </c>
      <c r="J9" t="str">
        <f>VLOOKUP(I9,[1]Base!$I:$J,2,0)</f>
        <v>Juan Carlos Pinilla</v>
      </c>
    </row>
    <row r="10" spans="1:11">
      <c r="A10" t="s">
        <v>717</v>
      </c>
      <c r="B10" s="14">
        <v>1003022623</v>
      </c>
      <c r="C10" t="s">
        <v>5</v>
      </c>
      <c r="D10" t="s">
        <v>171</v>
      </c>
      <c r="E10" t="s">
        <v>551</v>
      </c>
      <c r="F10" t="s">
        <v>17</v>
      </c>
      <c r="G10" t="s">
        <v>305</v>
      </c>
      <c r="H10" t="s">
        <v>290</v>
      </c>
      <c r="I10" t="str">
        <f t="shared" si="0"/>
        <v>AGRO HONDA LA S.A.SGNC</v>
      </c>
      <c r="J10" t="str">
        <f>VLOOKUP(I10,[1]Base!$I:$J,2,0)</f>
        <v>Lina del Mar Florez</v>
      </c>
    </row>
    <row r="11" spans="1:11">
      <c r="A11" t="s">
        <v>718</v>
      </c>
      <c r="B11" s="14">
        <v>1002752893</v>
      </c>
      <c r="C11" t="s">
        <v>5</v>
      </c>
      <c r="D11" t="s">
        <v>329</v>
      </c>
      <c r="E11" t="s">
        <v>374</v>
      </c>
      <c r="F11" t="s">
        <v>6</v>
      </c>
      <c r="G11" t="s">
        <v>15</v>
      </c>
      <c r="H11" t="s">
        <v>15</v>
      </c>
      <c r="I11" t="str">
        <f t="shared" si="0"/>
        <v>AGRONAUTICA MOTOS IMPORTADORES LTDAVANTI</v>
      </c>
      <c r="J11" t="str">
        <f>VLOOKUP(I11,[1]Base!$I:$J,2,0)</f>
        <v>Juan Carlos Pinilla</v>
      </c>
    </row>
    <row r="12" spans="1:11">
      <c r="B12" s="14" t="e">
        <v>#N/A</v>
      </c>
      <c r="C12" t="s">
        <v>297</v>
      </c>
      <c r="D12" t="s">
        <v>191</v>
      </c>
      <c r="E12" t="s">
        <v>375</v>
      </c>
      <c r="F12" t="s">
        <v>6</v>
      </c>
      <c r="G12" t="s">
        <v>208</v>
      </c>
      <c r="H12" t="s">
        <v>208</v>
      </c>
      <c r="I12" t="str">
        <f t="shared" si="0"/>
        <v>AGUA Y GAS INGENIERIA SASVANTI</v>
      </c>
      <c r="J12" t="str">
        <f>VLOOKUP(I12,[1]Base!$I:$J,2,0)</f>
        <v>Firma Instaladora</v>
      </c>
    </row>
    <row r="13" spans="1:11">
      <c r="A13" t="s">
        <v>719</v>
      </c>
      <c r="B13" s="14">
        <v>1003158970</v>
      </c>
      <c r="C13" t="s">
        <v>8</v>
      </c>
      <c r="D13" t="s">
        <v>318</v>
      </c>
      <c r="E13" t="s">
        <v>376</v>
      </c>
      <c r="F13" t="s">
        <v>12</v>
      </c>
      <c r="G13" t="s">
        <v>305</v>
      </c>
      <c r="H13" t="s">
        <v>13</v>
      </c>
      <c r="I13" t="str">
        <f t="shared" si="0"/>
        <v>ALCA LTDAGNCB</v>
      </c>
      <c r="J13" t="str">
        <f>VLOOKUP(I13,[1]Base!$I:$J,2,0)</f>
        <v>Lina del Mar Florez</v>
      </c>
    </row>
    <row r="14" spans="1:11">
      <c r="A14" t="s">
        <v>719</v>
      </c>
      <c r="B14" s="14">
        <v>1003158970</v>
      </c>
      <c r="C14" t="s">
        <v>8</v>
      </c>
      <c r="D14" t="s">
        <v>318</v>
      </c>
      <c r="E14" t="s">
        <v>376</v>
      </c>
      <c r="F14" t="s">
        <v>17</v>
      </c>
      <c r="G14" t="s">
        <v>305</v>
      </c>
      <c r="H14" t="s">
        <v>290</v>
      </c>
      <c r="I14" t="str">
        <f t="shared" si="0"/>
        <v>ALCA LTDAGNC</v>
      </c>
      <c r="J14" t="str">
        <f>VLOOKUP(I14,[1]Base!$I:$J,2,0)</f>
        <v>Lina del Mar Florez</v>
      </c>
    </row>
    <row r="15" spans="1:11">
      <c r="B15" s="14" t="e">
        <v>#N/A</v>
      </c>
      <c r="C15" t="s">
        <v>297</v>
      </c>
      <c r="D15" t="s">
        <v>198</v>
      </c>
      <c r="E15" t="s">
        <v>377</v>
      </c>
      <c r="F15" t="s">
        <v>6</v>
      </c>
      <c r="G15" t="s">
        <v>208</v>
      </c>
      <c r="H15" t="s">
        <v>208</v>
      </c>
      <c r="I15" t="str">
        <f t="shared" si="0"/>
        <v>ALFAGAS SERVICIOS SASVANTI</v>
      </c>
      <c r="J15" t="str">
        <f>VLOOKUP(I15,[1]Base!$I:$J,2,0)</f>
        <v>Firma Instaladora</v>
      </c>
    </row>
    <row r="16" spans="1:11">
      <c r="A16" t="s">
        <v>720</v>
      </c>
      <c r="B16" s="14">
        <v>1000008105</v>
      </c>
      <c r="C16" t="s">
        <v>8</v>
      </c>
      <c r="D16" t="s">
        <v>11</v>
      </c>
      <c r="E16" t="s">
        <v>552</v>
      </c>
      <c r="F16" t="s">
        <v>17</v>
      </c>
      <c r="G16" t="s">
        <v>336</v>
      </c>
      <c r="H16" t="s">
        <v>290</v>
      </c>
      <c r="I16" t="str">
        <f t="shared" si="0"/>
        <v>Alfagres S.A. - En ReorganizaciónGNC</v>
      </c>
      <c r="J16" t="str">
        <f>VLOOKUP(I16,[1]Base!$I:$J,2,0)</f>
        <v>Lina del Mar Florez</v>
      </c>
    </row>
    <row r="17" spans="1:11">
      <c r="A17" t="s">
        <v>721</v>
      </c>
      <c r="B17" s="14">
        <v>1002951795</v>
      </c>
      <c r="C17" t="s">
        <v>5</v>
      </c>
      <c r="D17" t="s">
        <v>147</v>
      </c>
      <c r="E17" t="s">
        <v>553</v>
      </c>
      <c r="F17" t="s">
        <v>17</v>
      </c>
      <c r="G17" t="s">
        <v>290</v>
      </c>
      <c r="H17" t="s">
        <v>290</v>
      </c>
      <c r="I17" t="str">
        <f t="shared" si="0"/>
        <v>ALMACEN MOTOCAMPO S.A.GNC</v>
      </c>
      <c r="J17" t="str">
        <f>VLOOKUP(I17,[1]Base!$I:$J,2,0)</f>
        <v>Lina del Mar Florez</v>
      </c>
    </row>
    <row r="18" spans="1:11">
      <c r="A18" t="s">
        <v>722</v>
      </c>
      <c r="B18" s="14">
        <v>1002788615</v>
      </c>
      <c r="C18" t="s">
        <v>8</v>
      </c>
      <c r="D18" t="s">
        <v>14</v>
      </c>
      <c r="E18" t="s">
        <v>554</v>
      </c>
      <c r="F18" t="s">
        <v>17</v>
      </c>
      <c r="G18" t="s">
        <v>336</v>
      </c>
      <c r="H18" t="s">
        <v>290</v>
      </c>
      <c r="I18" t="str">
        <f t="shared" si="0"/>
        <v>ALMACENES CORONA S.A.SGNC</v>
      </c>
      <c r="J18" t="str">
        <f>VLOOKUP(I18,[1]Base!$I:$J,2,0)</f>
        <v>Lina del Mar Florez</v>
      </c>
    </row>
    <row r="19" spans="1:11">
      <c r="A19" t="s">
        <v>723</v>
      </c>
      <c r="B19" s="14">
        <v>1000008275</v>
      </c>
      <c r="C19" t="s">
        <v>18</v>
      </c>
      <c r="D19" t="s">
        <v>19</v>
      </c>
      <c r="E19" t="s">
        <v>378</v>
      </c>
      <c r="F19" t="s">
        <v>17</v>
      </c>
      <c r="G19" t="s">
        <v>291</v>
      </c>
      <c r="H19" t="s">
        <v>290</v>
      </c>
      <c r="I19" t="str">
        <f t="shared" si="0"/>
        <v>ALMACENES EXITO S AGNC</v>
      </c>
      <c r="J19" t="str">
        <f>VLOOKUP(I19,[1]Base!$I:$J,2,0)</f>
        <v>Lina del Mar Florez</v>
      </c>
    </row>
    <row r="20" spans="1:11">
      <c r="A20" t="s">
        <v>723</v>
      </c>
      <c r="B20" s="14">
        <v>1000008275</v>
      </c>
      <c r="C20" t="s">
        <v>18</v>
      </c>
      <c r="D20" t="s">
        <v>324</v>
      </c>
      <c r="E20" t="s">
        <v>379</v>
      </c>
      <c r="F20" t="s">
        <v>12</v>
      </c>
      <c r="G20" t="s">
        <v>291</v>
      </c>
      <c r="H20" t="s">
        <v>13</v>
      </c>
      <c r="I20" t="str">
        <f t="shared" si="0"/>
        <v>ALMACENES EXITO S A 2GNCB</v>
      </c>
      <c r="J20" t="str">
        <f>VLOOKUP(I20,[1]Base!$I:$J,2,0)</f>
        <v>Lina del Mar Florez</v>
      </c>
    </row>
    <row r="21" spans="1:11">
      <c r="A21" t="s">
        <v>724</v>
      </c>
      <c r="B21" s="14">
        <v>1002979499</v>
      </c>
      <c r="C21" t="s">
        <v>18</v>
      </c>
      <c r="D21" t="s">
        <v>136</v>
      </c>
      <c r="E21" t="s">
        <v>555</v>
      </c>
      <c r="F21" t="s">
        <v>6</v>
      </c>
      <c r="G21" t="s">
        <v>291</v>
      </c>
      <c r="H21" t="s">
        <v>291</v>
      </c>
      <c r="I21" t="str">
        <f t="shared" si="0"/>
        <v>ALMACENES FLAMINGO S.AVANTI</v>
      </c>
      <c r="J21" t="str">
        <f>VLOOKUP(I21,[1]Base!$I:$J,2,0)</f>
        <v>Janneth Torres Hernandez</v>
      </c>
    </row>
    <row r="22" spans="1:11">
      <c r="A22" t="s">
        <v>725</v>
      </c>
      <c r="B22" s="14">
        <v>1002827461</v>
      </c>
      <c r="C22" t="s">
        <v>8</v>
      </c>
      <c r="D22" t="s">
        <v>21</v>
      </c>
      <c r="E22" t="s">
        <v>556</v>
      </c>
      <c r="F22" t="s">
        <v>17</v>
      </c>
      <c r="G22" t="s">
        <v>20</v>
      </c>
      <c r="H22" t="s">
        <v>290</v>
      </c>
      <c r="I22" t="str">
        <f t="shared" si="0"/>
        <v>ALONDRA MUEBLES Y COLCHONES S.A.SGNC</v>
      </c>
      <c r="J22" t="str">
        <f>VLOOKUP(I22,[1]Base!$I:$J,2,0)</f>
        <v>Lina del Mar Florez</v>
      </c>
    </row>
    <row r="23" spans="1:11">
      <c r="A23" t="s">
        <v>726</v>
      </c>
      <c r="B23" s="14">
        <v>1002915809</v>
      </c>
      <c r="C23" t="s">
        <v>8</v>
      </c>
      <c r="D23" t="s">
        <v>23</v>
      </c>
      <c r="E23" t="s">
        <v>380</v>
      </c>
      <c r="F23" t="s">
        <v>12</v>
      </c>
      <c r="G23" t="s">
        <v>20</v>
      </c>
      <c r="H23" t="s">
        <v>13</v>
      </c>
      <c r="I23" t="str">
        <f t="shared" si="0"/>
        <v>Altycombpo SASGNCB</v>
      </c>
      <c r="J23" t="str">
        <f>VLOOKUP(I23,[1]Base!$I:$J,2,0)</f>
        <v>Lina del Mar Florez</v>
      </c>
    </row>
    <row r="24" spans="1:11">
      <c r="A24" t="s">
        <v>726</v>
      </c>
      <c r="B24" s="14">
        <v>1002915809</v>
      </c>
      <c r="C24" t="s">
        <v>8</v>
      </c>
      <c r="D24" t="s">
        <v>23</v>
      </c>
      <c r="E24" t="s">
        <v>380</v>
      </c>
      <c r="F24" t="s">
        <v>6</v>
      </c>
      <c r="G24" t="s">
        <v>20</v>
      </c>
      <c r="H24" t="s">
        <v>20</v>
      </c>
      <c r="I24" t="str">
        <f t="shared" si="0"/>
        <v>Altycombpo SASVANTI</v>
      </c>
      <c r="J24" t="str">
        <f>VLOOKUP(I24,[1]Base!$I:$J,2,0)</f>
        <v>Juan Carlos Pinilla</v>
      </c>
    </row>
    <row r="25" spans="1:11">
      <c r="A25" t="s">
        <v>727</v>
      </c>
      <c r="B25" s="14">
        <v>1000027908</v>
      </c>
      <c r="C25" t="s">
        <v>8</v>
      </c>
      <c r="D25" t="s">
        <v>24</v>
      </c>
      <c r="E25" t="s">
        <v>381</v>
      </c>
      <c r="F25" t="s">
        <v>6</v>
      </c>
      <c r="G25" t="s">
        <v>13</v>
      </c>
      <c r="H25" t="s">
        <v>20</v>
      </c>
      <c r="I25" t="str">
        <f t="shared" si="0"/>
        <v>AMBIENTES CERAMICOS LTDAVANTI</v>
      </c>
      <c r="J25" t="str">
        <f>VLOOKUP(I25,[1]Base!$I:$J,2,0)</f>
        <v>Juan Carlos Pinilla</v>
      </c>
    </row>
    <row r="26" spans="1:11">
      <c r="A26" t="s">
        <v>728</v>
      </c>
      <c r="B26" s="14">
        <v>1002915900</v>
      </c>
      <c r="C26" t="s">
        <v>8</v>
      </c>
      <c r="D26" t="s">
        <v>230</v>
      </c>
      <c r="E26" t="s">
        <v>382</v>
      </c>
      <c r="F26" t="s">
        <v>6</v>
      </c>
      <c r="G26" t="s">
        <v>16</v>
      </c>
      <c r="H26" t="s">
        <v>20</v>
      </c>
      <c r="I26" t="str">
        <f t="shared" si="0"/>
        <v>Ana Maria ParraVANTI</v>
      </c>
      <c r="J26" t="str">
        <f>VLOOKUP(I26,[1]Base!$I:$J,2,0)</f>
        <v>Juan Carlos Pinilla</v>
      </c>
    </row>
    <row r="27" spans="1:11">
      <c r="A27" s="13" t="s">
        <v>689</v>
      </c>
      <c r="B27" s="14">
        <v>1003102560</v>
      </c>
      <c r="C27" t="s">
        <v>8</v>
      </c>
      <c r="D27" t="s">
        <v>306</v>
      </c>
      <c r="E27" t="s">
        <v>383</v>
      </c>
      <c r="F27" t="s">
        <v>6</v>
      </c>
      <c r="G27" t="s">
        <v>20</v>
      </c>
      <c r="H27" t="s">
        <v>20</v>
      </c>
      <c r="I27" t="str">
        <f t="shared" si="0"/>
        <v>ANDERSON OSORIO PEREZ (MODUCOL)VANTI</v>
      </c>
      <c r="J27" t="str">
        <f>VLOOKUP(I27,[1]Base!$I:$J,2,0)</f>
        <v>Juan Carlos Pinilla</v>
      </c>
      <c r="K27" t="s">
        <v>692</v>
      </c>
    </row>
    <row r="28" spans="1:11">
      <c r="B28" s="14" t="e">
        <v>#N/A</v>
      </c>
      <c r="C28" t="s">
        <v>297</v>
      </c>
      <c r="D28" t="s">
        <v>186</v>
      </c>
      <c r="E28" t="s">
        <v>384</v>
      </c>
      <c r="F28" t="s">
        <v>12</v>
      </c>
      <c r="G28" t="s">
        <v>208</v>
      </c>
      <c r="H28" t="s">
        <v>208</v>
      </c>
      <c r="I28" t="str">
        <f t="shared" si="0"/>
        <v>APROGAS EUGNCB</v>
      </c>
      <c r="J28" t="str">
        <f>VLOOKUP(I28,[1]Base!$I:$J,2,0)</f>
        <v>Firma Instaladora</v>
      </c>
    </row>
    <row r="29" spans="1:11">
      <c r="B29" s="14" t="e">
        <v>#N/A</v>
      </c>
      <c r="C29" t="s">
        <v>297</v>
      </c>
      <c r="D29" t="s">
        <v>186</v>
      </c>
      <c r="E29" t="s">
        <v>384</v>
      </c>
      <c r="F29" t="s">
        <v>6</v>
      </c>
      <c r="G29" t="s">
        <v>208</v>
      </c>
      <c r="H29" t="s">
        <v>208</v>
      </c>
      <c r="I29" t="str">
        <f t="shared" si="0"/>
        <v>APROGAS EUVANTI</v>
      </c>
      <c r="J29" t="str">
        <f>VLOOKUP(I29,[1]Base!$I:$J,2,0)</f>
        <v>Firma Instaladora</v>
      </c>
    </row>
    <row r="30" spans="1:11">
      <c r="B30" s="14" t="e">
        <v>#N/A</v>
      </c>
      <c r="C30" t="s">
        <v>297</v>
      </c>
      <c r="D30" t="s">
        <v>292</v>
      </c>
      <c r="E30" t="s">
        <v>385</v>
      </c>
      <c r="F30" t="s">
        <v>6</v>
      </c>
      <c r="G30" t="s">
        <v>208</v>
      </c>
      <c r="H30" t="s">
        <v>208</v>
      </c>
      <c r="I30" t="str">
        <f t="shared" si="0"/>
        <v>APS INGENIERIA DE GASVANTI</v>
      </c>
      <c r="J30" t="str">
        <f>VLOOKUP(I30,[1]Base!$I:$J,2,0)</f>
        <v>Firma Instaladora</v>
      </c>
    </row>
    <row r="31" spans="1:11">
      <c r="B31" s="14" t="e">
        <v>#N/A</v>
      </c>
      <c r="C31" t="s">
        <v>297</v>
      </c>
      <c r="D31" t="s">
        <v>292</v>
      </c>
      <c r="E31" t="s">
        <v>385</v>
      </c>
      <c r="F31" t="s">
        <v>12</v>
      </c>
      <c r="G31" t="s">
        <v>208</v>
      </c>
      <c r="H31" t="s">
        <v>208</v>
      </c>
      <c r="I31" t="str">
        <f t="shared" si="0"/>
        <v>APS INGENIERIA DE GASGNCB</v>
      </c>
      <c r="J31" t="str">
        <f>VLOOKUP(I31,[1]Base!$I:$J,2,0)</f>
        <v>Firma Instaladora</v>
      </c>
    </row>
    <row r="32" spans="1:11">
      <c r="B32" s="14" t="e">
        <v>#N/A</v>
      </c>
      <c r="C32" t="s">
        <v>297</v>
      </c>
      <c r="D32" t="s">
        <v>285</v>
      </c>
      <c r="E32" t="s">
        <v>386</v>
      </c>
      <c r="F32" t="s">
        <v>6</v>
      </c>
      <c r="G32" t="s">
        <v>208</v>
      </c>
      <c r="H32" t="s">
        <v>208</v>
      </c>
      <c r="I32" t="str">
        <f t="shared" si="0"/>
        <v>AR CAPITAL SASVANTI</v>
      </c>
      <c r="J32" t="str">
        <f>VLOOKUP(I32,[1]Base!$I:$J,2,0)</f>
        <v>Firma Instaladora</v>
      </c>
    </row>
    <row r="33" spans="1:10">
      <c r="B33" s="14" t="e">
        <v>#N/A</v>
      </c>
      <c r="C33" t="s">
        <v>297</v>
      </c>
      <c r="D33" t="s">
        <v>285</v>
      </c>
      <c r="E33" t="s">
        <v>386</v>
      </c>
      <c r="F33" t="s">
        <v>12</v>
      </c>
      <c r="G33" t="s">
        <v>208</v>
      </c>
      <c r="H33" t="s">
        <v>208</v>
      </c>
      <c r="I33" t="str">
        <f t="shared" si="0"/>
        <v>AR CAPITAL SASGNCB</v>
      </c>
      <c r="J33" t="str">
        <f>VLOOKUP(I33,[1]Base!$I:$J,2,0)</f>
        <v>Firma Instaladora</v>
      </c>
    </row>
    <row r="34" spans="1:10">
      <c r="B34" s="14" t="e">
        <v>#N/A</v>
      </c>
      <c r="C34" t="s">
        <v>297</v>
      </c>
      <c r="D34" t="s">
        <v>203</v>
      </c>
      <c r="E34" t="s">
        <v>387</v>
      </c>
      <c r="F34" t="s">
        <v>6</v>
      </c>
      <c r="G34" t="s">
        <v>208</v>
      </c>
      <c r="H34" t="s">
        <v>208</v>
      </c>
      <c r="I34" t="str">
        <f t="shared" si="0"/>
        <v>ARHUS INGENIEROS LTDAVANTI</v>
      </c>
      <c r="J34" t="str">
        <f>VLOOKUP(I34,[1]Base!$I:$J,2,0)</f>
        <v>Firma Instaladora</v>
      </c>
    </row>
    <row r="35" spans="1:10">
      <c r="B35" s="14" t="e">
        <v>#N/A</v>
      </c>
      <c r="C35" t="s">
        <v>297</v>
      </c>
      <c r="D35" t="s">
        <v>189</v>
      </c>
      <c r="E35" t="s">
        <v>388</v>
      </c>
      <c r="F35" t="s">
        <v>6</v>
      </c>
      <c r="G35" t="s">
        <v>208</v>
      </c>
      <c r="H35" t="s">
        <v>208</v>
      </c>
      <c r="I35" t="str">
        <f t="shared" si="0"/>
        <v>ASEPROGAS SASVANTI</v>
      </c>
      <c r="J35" t="str">
        <f>VLOOKUP(I35,[1]Base!$I:$J,2,0)</f>
        <v>Firma Instaladora</v>
      </c>
    </row>
    <row r="36" spans="1:10">
      <c r="A36" t="s">
        <v>729</v>
      </c>
      <c r="B36" s="14">
        <v>1000422552</v>
      </c>
      <c r="C36" t="s">
        <v>8</v>
      </c>
      <c r="D36" t="s">
        <v>132</v>
      </c>
      <c r="E36" t="s">
        <v>389</v>
      </c>
      <c r="F36" t="s">
        <v>17</v>
      </c>
      <c r="G36" t="s">
        <v>305</v>
      </c>
      <c r="H36" t="s">
        <v>290</v>
      </c>
      <c r="I36" t="str">
        <f t="shared" si="0"/>
        <v>ASYCO SASGNC</v>
      </c>
      <c r="J36" t="str">
        <f>VLOOKUP(I36,[1]Base!$I:$J,2,0)</f>
        <v>Lina del Mar Florez</v>
      </c>
    </row>
    <row r="37" spans="1:10">
      <c r="A37" t="s">
        <v>730</v>
      </c>
      <c r="B37" s="14">
        <v>1003142750</v>
      </c>
      <c r="C37" t="s">
        <v>5</v>
      </c>
      <c r="D37" t="s">
        <v>309</v>
      </c>
      <c r="E37" t="s">
        <v>557</v>
      </c>
      <c r="F37" t="s">
        <v>17</v>
      </c>
      <c r="G37" t="s">
        <v>22</v>
      </c>
      <c r="H37" t="s">
        <v>290</v>
      </c>
      <c r="I37" t="str">
        <f t="shared" si="0"/>
        <v>AUTECO S.A.S.GNC</v>
      </c>
      <c r="J37" t="str">
        <f>VLOOKUP(I37,[1]Base!$I:$J,2,0)</f>
        <v>Lina del Mar Florez</v>
      </c>
    </row>
    <row r="38" spans="1:10">
      <c r="B38" s="14" t="e">
        <v>#N/A</v>
      </c>
      <c r="C38" t="s">
        <v>255</v>
      </c>
      <c r="D38" t="s">
        <v>278</v>
      </c>
      <c r="E38" t="s">
        <v>390</v>
      </c>
      <c r="F38" t="s">
        <v>17</v>
      </c>
      <c r="G38" t="s">
        <v>255</v>
      </c>
      <c r="H38" t="s">
        <v>255</v>
      </c>
      <c r="I38" t="str">
        <f t="shared" si="0"/>
        <v>AUTOGASCOL LTDAGNC</v>
      </c>
      <c r="J38" t="str">
        <f>VLOOKUP(I38,[1]Base!$I:$J,2,0)</f>
        <v>GNV</v>
      </c>
    </row>
    <row r="39" spans="1:10">
      <c r="A39" t="s">
        <v>731</v>
      </c>
      <c r="B39" s="14">
        <v>1002952202</v>
      </c>
      <c r="C39" t="s">
        <v>8</v>
      </c>
      <c r="D39" t="s">
        <v>26</v>
      </c>
      <c r="E39" t="s">
        <v>558</v>
      </c>
      <c r="F39" t="s">
        <v>6</v>
      </c>
      <c r="G39" t="s">
        <v>15</v>
      </c>
      <c r="H39" t="s">
        <v>15</v>
      </c>
      <c r="I39" t="str">
        <f t="shared" si="0"/>
        <v>BIKE HOUSE S.A.SVANTI</v>
      </c>
      <c r="J39" t="str">
        <f>VLOOKUP(I39,[1]Base!$I:$J,2,0)</f>
        <v>Juan Carlos Pinilla</v>
      </c>
    </row>
    <row r="40" spans="1:10">
      <c r="A40" t="s">
        <v>731</v>
      </c>
      <c r="B40" s="14">
        <v>1002952202</v>
      </c>
      <c r="C40" t="s">
        <v>8</v>
      </c>
      <c r="D40" t="s">
        <v>26</v>
      </c>
      <c r="E40" t="s">
        <v>558</v>
      </c>
      <c r="F40" t="s">
        <v>12</v>
      </c>
      <c r="G40" t="s">
        <v>15</v>
      </c>
      <c r="H40" t="s">
        <v>13</v>
      </c>
      <c r="I40" t="str">
        <f t="shared" si="0"/>
        <v>BIKE HOUSE S.A.SGNCB</v>
      </c>
      <c r="J40" t="str">
        <f>VLOOKUP(I40,[1]Base!$I:$J,2,0)</f>
        <v>Lina del Mar Florez</v>
      </c>
    </row>
    <row r="41" spans="1:10">
      <c r="A41" t="s">
        <v>732</v>
      </c>
      <c r="B41" s="14">
        <v>1003020236</v>
      </c>
      <c r="C41" t="s">
        <v>5</v>
      </c>
      <c r="D41" t="s">
        <v>172</v>
      </c>
      <c r="E41" t="s">
        <v>559</v>
      </c>
      <c r="F41" t="s">
        <v>12</v>
      </c>
      <c r="G41" t="s">
        <v>15</v>
      </c>
      <c r="H41" t="s">
        <v>16</v>
      </c>
      <c r="I41" t="str">
        <f t="shared" si="0"/>
        <v>Biologica Vehiculos Electricos S.A.S.GNCB</v>
      </c>
      <c r="J41" t="str">
        <f>VLOOKUP(I41,[1]Base!$I:$J,2,0)</f>
        <v>Lina del Mar Florez</v>
      </c>
    </row>
    <row r="42" spans="1:10">
      <c r="A42" t="s">
        <v>733</v>
      </c>
      <c r="B42" s="14">
        <v>1003035671</v>
      </c>
      <c r="C42" t="s">
        <v>5</v>
      </c>
      <c r="D42" t="s">
        <v>212</v>
      </c>
      <c r="E42" t="s">
        <v>560</v>
      </c>
      <c r="F42" t="s">
        <v>12</v>
      </c>
      <c r="G42" t="s">
        <v>22</v>
      </c>
      <c r="H42" t="s">
        <v>16</v>
      </c>
      <c r="I42" t="str">
        <f t="shared" si="0"/>
        <v>BMR Group S.A.S.GNCB</v>
      </c>
      <c r="J42" t="str">
        <f>VLOOKUP(I42,[1]Base!$I:$J,2,0)</f>
        <v>Lina del Mar Florez</v>
      </c>
    </row>
    <row r="43" spans="1:10">
      <c r="A43" t="s">
        <v>734</v>
      </c>
      <c r="B43" s="14">
        <v>1002958867</v>
      </c>
      <c r="C43" t="s">
        <v>5</v>
      </c>
      <c r="D43" t="s">
        <v>129</v>
      </c>
      <c r="E43" t="s">
        <v>561</v>
      </c>
      <c r="F43" t="s">
        <v>6</v>
      </c>
      <c r="G43" t="s">
        <v>22</v>
      </c>
      <c r="H43" t="s">
        <v>22</v>
      </c>
      <c r="I43" t="str">
        <f t="shared" si="0"/>
        <v>Brauhof S.A.S.VANTI</v>
      </c>
      <c r="J43" t="str">
        <f>VLOOKUP(I43,[1]Base!$I:$J,2,0)</f>
        <v>Juan Carlos Pinilla</v>
      </c>
    </row>
    <row r="44" spans="1:10">
      <c r="A44" t="s">
        <v>735</v>
      </c>
      <c r="B44" s="14" t="s">
        <v>943</v>
      </c>
      <c r="C44" t="s">
        <v>5</v>
      </c>
      <c r="D44" t="s">
        <v>27</v>
      </c>
      <c r="E44" t="s">
        <v>562</v>
      </c>
      <c r="F44" t="s">
        <v>6</v>
      </c>
      <c r="G44" t="s">
        <v>22</v>
      </c>
      <c r="H44" t="s">
        <v>22</v>
      </c>
      <c r="I44" t="str">
        <f t="shared" si="0"/>
        <v>Cajeto S.A.S.VANTI</v>
      </c>
      <c r="J44" t="str">
        <f>VLOOKUP(I44,[1]Base!$I:$J,2,0)</f>
        <v>Juan Carlos Pinilla</v>
      </c>
    </row>
    <row r="45" spans="1:10">
      <c r="A45" t="s">
        <v>736</v>
      </c>
      <c r="B45" s="14">
        <v>1003009702</v>
      </c>
      <c r="C45" t="s">
        <v>5</v>
      </c>
      <c r="D45" t="s">
        <v>217</v>
      </c>
      <c r="E45" t="s">
        <v>563</v>
      </c>
      <c r="F45" t="s">
        <v>17</v>
      </c>
      <c r="G45" t="s">
        <v>290</v>
      </c>
      <c r="H45" t="s">
        <v>290</v>
      </c>
      <c r="I45" t="str">
        <f t="shared" si="0"/>
        <v>CARCO - SEVE SOCIEDAD POR ACCIONES SIMPLIFICADA S.A.S.GNC</v>
      </c>
      <c r="J45" t="str">
        <f>VLOOKUP(I45,[1]Base!$I:$J,2,0)</f>
        <v>Lina del Mar Florez</v>
      </c>
    </row>
    <row r="46" spans="1:10">
      <c r="A46" t="s">
        <v>737</v>
      </c>
      <c r="B46" s="14">
        <v>1000027779</v>
      </c>
      <c r="C46" t="s">
        <v>5</v>
      </c>
      <c r="D46" t="s">
        <v>111</v>
      </c>
      <c r="E46" t="s">
        <v>564</v>
      </c>
      <c r="F46" t="s">
        <v>12</v>
      </c>
      <c r="G46" t="s">
        <v>13</v>
      </c>
      <c r="H46" t="s">
        <v>13</v>
      </c>
      <c r="I46" t="str">
        <f t="shared" si="0"/>
        <v>CARRAZOS S.A.S.GNCB</v>
      </c>
      <c r="J46" t="str">
        <f>VLOOKUP(I46,[1]Base!$I:$J,2,0)</f>
        <v>Lina del Mar Florez</v>
      </c>
    </row>
    <row r="47" spans="1:10">
      <c r="A47" t="s">
        <v>738</v>
      </c>
      <c r="B47" s="14">
        <v>1002951779</v>
      </c>
      <c r="C47" t="s">
        <v>5</v>
      </c>
      <c r="D47" t="s">
        <v>28</v>
      </c>
      <c r="E47" t="s">
        <v>565</v>
      </c>
      <c r="F47" t="s">
        <v>17</v>
      </c>
      <c r="G47" t="s">
        <v>15</v>
      </c>
      <c r="H47" t="s">
        <v>290</v>
      </c>
      <c r="I47" t="str">
        <f t="shared" si="0"/>
        <v>Carrera Motos S.A.S.GNC</v>
      </c>
      <c r="J47" t="str">
        <f>VLOOKUP(I47,[1]Base!$I:$J,2,0)</f>
        <v>Lina del Mar Florez</v>
      </c>
    </row>
    <row r="48" spans="1:10">
      <c r="A48" t="s">
        <v>739</v>
      </c>
      <c r="B48" s="14">
        <v>1003012848</v>
      </c>
      <c r="C48" t="s">
        <v>5</v>
      </c>
      <c r="D48" t="s">
        <v>156</v>
      </c>
      <c r="E48" t="s">
        <v>566</v>
      </c>
      <c r="F48" t="s">
        <v>12</v>
      </c>
      <c r="G48" t="s">
        <v>15</v>
      </c>
      <c r="H48" t="s">
        <v>13</v>
      </c>
      <c r="I48" t="str">
        <f t="shared" si="0"/>
        <v>CASA BAJAJ MYM S.A.S.GNCB</v>
      </c>
      <c r="J48" t="str">
        <f>VLOOKUP(I48,[1]Base!$I:$J,2,0)</f>
        <v>Lina del Mar Florez</v>
      </c>
    </row>
    <row r="49" spans="1:10">
      <c r="A49">
        <v>9017194301</v>
      </c>
      <c r="B49" s="14">
        <v>1003035668</v>
      </c>
      <c r="C49" t="s">
        <v>5</v>
      </c>
      <c r="D49" t="s">
        <v>176</v>
      </c>
      <c r="E49" t="s">
        <v>567</v>
      </c>
      <c r="F49" t="s">
        <v>6</v>
      </c>
      <c r="G49" t="s">
        <v>22</v>
      </c>
      <c r="H49" t="s">
        <v>22</v>
      </c>
      <c r="I49" t="str">
        <f t="shared" si="0"/>
        <v>Casa Hero S.A.S.VANTI</v>
      </c>
      <c r="J49" t="str">
        <f>VLOOKUP(I49,[1]Base!$I:$J,2,0)</f>
        <v>Juan Carlos Pinilla</v>
      </c>
    </row>
    <row r="50" spans="1:10">
      <c r="A50" t="s">
        <v>740</v>
      </c>
      <c r="B50" s="14">
        <v>1002960785</v>
      </c>
      <c r="C50" t="s">
        <v>8</v>
      </c>
      <c r="D50" t="s">
        <v>29</v>
      </c>
      <c r="E50" t="s">
        <v>568</v>
      </c>
      <c r="F50" t="s">
        <v>6</v>
      </c>
      <c r="G50" t="s">
        <v>20</v>
      </c>
      <c r="H50" t="s">
        <v>20</v>
      </c>
      <c r="I50" t="str">
        <f t="shared" si="0"/>
        <v>Casa Spettacolare S.A.SVANTI</v>
      </c>
      <c r="J50" t="str">
        <f>VLOOKUP(I50,[1]Base!$I:$J,2,0)</f>
        <v>Juan Carlos Pinilla</v>
      </c>
    </row>
    <row r="51" spans="1:10">
      <c r="A51" t="s">
        <v>741</v>
      </c>
      <c r="B51" s="14">
        <v>1003088461</v>
      </c>
      <c r="C51" t="s">
        <v>8</v>
      </c>
      <c r="D51" t="s">
        <v>235</v>
      </c>
      <c r="E51" t="s">
        <v>391</v>
      </c>
      <c r="F51" t="s">
        <v>12</v>
      </c>
      <c r="G51" t="s">
        <v>336</v>
      </c>
      <c r="H51" t="s">
        <v>16</v>
      </c>
      <c r="I51" t="str">
        <f t="shared" si="0"/>
        <v>CEILINGS AND FLOORSGNCB</v>
      </c>
      <c r="J51" t="str">
        <f>VLOOKUP(I51,[1]Base!$I:$J,2,0)</f>
        <v>Lina del Mar Florez</v>
      </c>
    </row>
    <row r="52" spans="1:10">
      <c r="A52" t="s">
        <v>742</v>
      </c>
      <c r="B52" s="14">
        <v>1002830796</v>
      </c>
      <c r="C52" t="s">
        <v>8</v>
      </c>
      <c r="D52" t="s">
        <v>225</v>
      </c>
      <c r="E52" t="s">
        <v>522</v>
      </c>
      <c r="F52" t="s">
        <v>6</v>
      </c>
      <c r="G52" t="s">
        <v>20</v>
      </c>
      <c r="H52" t="s">
        <v>20</v>
      </c>
      <c r="I52" t="str">
        <f t="shared" si="0"/>
        <v>CEMEX COLOMBIA S.AVANTI</v>
      </c>
      <c r="J52" t="str">
        <f>VLOOKUP(I52,[1]Base!$I:$J,2,0)</f>
        <v>Juan Carlos Pinilla</v>
      </c>
    </row>
    <row r="53" spans="1:10">
      <c r="A53" t="s">
        <v>742</v>
      </c>
      <c r="B53" s="14">
        <v>1002830796</v>
      </c>
      <c r="C53" t="s">
        <v>8</v>
      </c>
      <c r="D53" t="s">
        <v>225</v>
      </c>
      <c r="E53" t="s">
        <v>522</v>
      </c>
      <c r="F53" t="s">
        <v>12</v>
      </c>
      <c r="G53" t="s">
        <v>20</v>
      </c>
      <c r="H53" t="s">
        <v>16</v>
      </c>
      <c r="I53" t="str">
        <f t="shared" si="0"/>
        <v>CEMEX COLOMBIA S.AGNCB</v>
      </c>
      <c r="J53" t="str">
        <f>VLOOKUP(I53,[1]Base!$I:$J,2,0)</f>
        <v>Lina del Mar Florez</v>
      </c>
    </row>
    <row r="54" spans="1:10">
      <c r="A54" t="s">
        <v>743</v>
      </c>
      <c r="B54" s="14">
        <v>1000008467</v>
      </c>
      <c r="C54" t="s">
        <v>18</v>
      </c>
      <c r="D54" t="s">
        <v>341</v>
      </c>
      <c r="E54" t="s">
        <v>569</v>
      </c>
      <c r="F54" t="s">
        <v>17</v>
      </c>
      <c r="G54" t="s">
        <v>291</v>
      </c>
      <c r="H54" t="s">
        <v>290</v>
      </c>
      <c r="I54" t="str">
        <f t="shared" si="0"/>
        <v>CENCOSUD COLOMBIA S.AGNC</v>
      </c>
      <c r="J54" t="str">
        <f>VLOOKUP(I54,[1]Base!$I:$J,2,0)</f>
        <v>Lina del Mar Florez</v>
      </c>
    </row>
    <row r="55" spans="1:10">
      <c r="A55" t="s">
        <v>743</v>
      </c>
      <c r="B55" s="14">
        <v>1000008467</v>
      </c>
      <c r="C55" t="s">
        <v>18</v>
      </c>
      <c r="D55" t="s">
        <v>341</v>
      </c>
      <c r="E55" t="s">
        <v>569</v>
      </c>
      <c r="F55" t="s">
        <v>12</v>
      </c>
      <c r="G55" t="s">
        <v>291</v>
      </c>
      <c r="H55" t="s">
        <v>13</v>
      </c>
      <c r="I55" t="str">
        <f t="shared" si="0"/>
        <v>CENCOSUD COLOMBIA S.AGNCB</v>
      </c>
      <c r="J55" t="str">
        <f>VLOOKUP(I55,[1]Base!$I:$J,2,0)</f>
        <v>Lina del Mar Florez</v>
      </c>
    </row>
    <row r="56" spans="1:10">
      <c r="A56" t="s">
        <v>743</v>
      </c>
      <c r="B56" s="14">
        <v>1000008467</v>
      </c>
      <c r="C56" t="s">
        <v>18</v>
      </c>
      <c r="D56" t="s">
        <v>341</v>
      </c>
      <c r="E56" t="s">
        <v>569</v>
      </c>
      <c r="F56" t="s">
        <v>6</v>
      </c>
      <c r="G56" t="s">
        <v>291</v>
      </c>
      <c r="H56" t="s">
        <v>291</v>
      </c>
      <c r="I56" t="str">
        <f t="shared" si="0"/>
        <v>CENCOSUD COLOMBIA S.AVANTI</v>
      </c>
      <c r="J56" t="str">
        <f>VLOOKUP(I56,[1]Base!$I:$J,2,0)</f>
        <v>Janneth Torres Hernandez</v>
      </c>
    </row>
    <row r="57" spans="1:10">
      <c r="B57" s="14" t="e">
        <v>#N/A</v>
      </c>
      <c r="C57" t="s">
        <v>297</v>
      </c>
      <c r="D57" t="s">
        <v>241</v>
      </c>
      <c r="E57" t="s">
        <v>392</v>
      </c>
      <c r="F57" t="s">
        <v>12</v>
      </c>
      <c r="G57" t="s">
        <v>208</v>
      </c>
      <c r="H57" t="s">
        <v>208</v>
      </c>
      <c r="I57" t="str">
        <f t="shared" si="0"/>
        <v>CENTRO DE INSTALACIONES DE GAS NATURAL CIGASGNCB</v>
      </c>
      <c r="J57" t="str">
        <f>VLOOKUP(I57,[1]Base!$I:$J,2,0)</f>
        <v>Firma Instaladora</v>
      </c>
    </row>
    <row r="58" spans="1:10">
      <c r="B58" s="14" t="e">
        <v>#N/A</v>
      </c>
      <c r="C58" t="s">
        <v>297</v>
      </c>
      <c r="D58" t="s">
        <v>241</v>
      </c>
      <c r="E58" t="s">
        <v>392</v>
      </c>
      <c r="F58" t="s">
        <v>6</v>
      </c>
      <c r="G58" t="s">
        <v>208</v>
      </c>
      <c r="H58" t="s">
        <v>208</v>
      </c>
      <c r="I58" t="str">
        <f t="shared" si="0"/>
        <v>CENTRO DE INSTALACIONES DE GAS NATURAL CIGASVANTI</v>
      </c>
      <c r="J58" t="str">
        <f>VLOOKUP(I58,[1]Base!$I:$J,2,0)</f>
        <v>Firma Instaladora</v>
      </c>
    </row>
    <row r="59" spans="1:10">
      <c r="A59" t="s">
        <v>744</v>
      </c>
      <c r="B59" s="14">
        <v>1003125817</v>
      </c>
      <c r="C59" t="s">
        <v>8</v>
      </c>
      <c r="D59" t="s">
        <v>311</v>
      </c>
      <c r="E59" t="s">
        <v>523</v>
      </c>
      <c r="F59" t="s">
        <v>6</v>
      </c>
      <c r="G59" t="s">
        <v>336</v>
      </c>
      <c r="H59" t="s">
        <v>336</v>
      </c>
      <c r="I59" t="str">
        <f t="shared" si="0"/>
        <v>CERAMICA ITALIA S.AVANTI</v>
      </c>
      <c r="J59" t="str">
        <f>VLOOKUP(I59,[1]Base!$I:$J,2,0)</f>
        <v>Juan Carlos Pinilla</v>
      </c>
    </row>
    <row r="60" spans="1:10">
      <c r="A60" t="s">
        <v>745</v>
      </c>
      <c r="B60" s="14">
        <v>1003092236</v>
      </c>
      <c r="C60" t="s">
        <v>8</v>
      </c>
      <c r="D60" t="s">
        <v>260</v>
      </c>
      <c r="E60" t="s">
        <v>570</v>
      </c>
      <c r="F60" t="s">
        <v>12</v>
      </c>
      <c r="G60" t="s">
        <v>16</v>
      </c>
      <c r="H60" t="s">
        <v>16</v>
      </c>
      <c r="I60" t="str">
        <f t="shared" si="0"/>
        <v>CERAMICAS DE LA SABANA S.A.SGNCB</v>
      </c>
      <c r="J60" t="str">
        <f>VLOOKUP(I60,[1]Base!$I:$J,2,0)</f>
        <v>Lina del Mar Florez</v>
      </c>
    </row>
    <row r="61" spans="1:10">
      <c r="A61" t="s">
        <v>746</v>
      </c>
      <c r="B61" s="14">
        <v>1003114806</v>
      </c>
      <c r="C61" t="s">
        <v>8</v>
      </c>
      <c r="D61" t="s">
        <v>283</v>
      </c>
      <c r="E61" t="s">
        <v>393</v>
      </c>
      <c r="F61" t="s">
        <v>6</v>
      </c>
      <c r="G61" t="s">
        <v>305</v>
      </c>
      <c r="H61" t="s">
        <v>20</v>
      </c>
      <c r="I61" t="str">
        <f t="shared" si="0"/>
        <v>CHACAM TRADING SASVANTI</v>
      </c>
      <c r="J61" t="str">
        <f>VLOOKUP(I61,[1]Base!$I:$J,2,0)</f>
        <v>Juan Carlos Pinilla</v>
      </c>
    </row>
    <row r="62" spans="1:10">
      <c r="B62" s="14" t="e">
        <v>#N/A</v>
      </c>
      <c r="C62" t="s">
        <v>254</v>
      </c>
      <c r="D62" t="s">
        <v>234</v>
      </c>
      <c r="E62" t="s">
        <v>524</v>
      </c>
      <c r="F62" t="s">
        <v>6</v>
      </c>
      <c r="G62" t="s">
        <v>254</v>
      </c>
      <c r="H62" t="s">
        <v>254</v>
      </c>
      <c r="I62" t="str">
        <f t="shared" si="0"/>
        <v>CHALLENGER S.A.VANTI</v>
      </c>
      <c r="J62" t="str">
        <f>VLOOKUP(I62,[1]Base!$I:$J,2,0)</f>
        <v>Seller</v>
      </c>
    </row>
    <row r="63" spans="1:10">
      <c r="B63" s="14" t="e">
        <v>#N/A</v>
      </c>
      <c r="C63" t="s">
        <v>254</v>
      </c>
      <c r="D63" t="s">
        <v>234</v>
      </c>
      <c r="E63" t="s">
        <v>524</v>
      </c>
      <c r="F63" t="s">
        <v>12</v>
      </c>
      <c r="G63" t="s">
        <v>254</v>
      </c>
      <c r="H63" t="s">
        <v>254</v>
      </c>
      <c r="I63" t="str">
        <f t="shared" si="0"/>
        <v>CHALLENGER S.A.GNCB</v>
      </c>
      <c r="J63" t="str">
        <f>VLOOKUP(I63,[1]Base!$I:$J,2,0)</f>
        <v>Seller</v>
      </c>
    </row>
    <row r="64" spans="1:10">
      <c r="A64" t="s">
        <v>747</v>
      </c>
      <c r="B64" s="14">
        <v>1002163733</v>
      </c>
      <c r="C64" t="s">
        <v>8</v>
      </c>
      <c r="D64" t="s">
        <v>257</v>
      </c>
      <c r="E64" t="s">
        <v>394</v>
      </c>
      <c r="F64" t="s">
        <v>6</v>
      </c>
      <c r="G64" t="s">
        <v>336</v>
      </c>
      <c r="H64" t="s">
        <v>336</v>
      </c>
      <c r="I64" t="str">
        <f t="shared" si="0"/>
        <v>CHAVES VARGAS GUILLERMO ALFONSOVANTI</v>
      </c>
      <c r="J64" t="str">
        <f>VLOOKUP(I64,[1]Base!$I:$J,2,0)</f>
        <v>Juan Carlos Pinilla</v>
      </c>
    </row>
    <row r="65" spans="1:10">
      <c r="A65" t="s">
        <v>748</v>
      </c>
      <c r="B65" s="14">
        <v>1002974545</v>
      </c>
      <c r="C65" t="s">
        <v>8</v>
      </c>
      <c r="D65" t="s">
        <v>113</v>
      </c>
      <c r="E65" t="s">
        <v>395</v>
      </c>
      <c r="F65" t="s">
        <v>6</v>
      </c>
      <c r="G65" t="s">
        <v>290</v>
      </c>
      <c r="H65" t="s">
        <v>20</v>
      </c>
      <c r="I65" t="str">
        <f t="shared" si="0"/>
        <v>CHINCHILLA SANTIAGO MILDREDVANTI</v>
      </c>
      <c r="J65" t="str">
        <f>VLOOKUP(I65,[1]Base!$I:$J,2,0)</f>
        <v>Juan Carlos Pinilla</v>
      </c>
    </row>
    <row r="66" spans="1:10">
      <c r="A66" t="s">
        <v>749</v>
      </c>
      <c r="B66" s="14">
        <v>1003022151</v>
      </c>
      <c r="C66" t="s">
        <v>5</v>
      </c>
      <c r="D66" t="s">
        <v>174</v>
      </c>
      <c r="E66" t="s">
        <v>571</v>
      </c>
      <c r="F66" t="s">
        <v>17</v>
      </c>
      <c r="G66" t="s">
        <v>15</v>
      </c>
      <c r="H66" t="s">
        <v>290</v>
      </c>
      <c r="I66" t="str">
        <f t="shared" si="0"/>
        <v>Cimaxcol S.A.S.GNC</v>
      </c>
      <c r="J66" t="str">
        <f>VLOOKUP(I66,[1]Base!$I:$J,2,0)</f>
        <v>Lina del Mar Florez</v>
      </c>
    </row>
    <row r="67" spans="1:10">
      <c r="A67" t="s">
        <v>749</v>
      </c>
      <c r="B67" s="14">
        <v>1003022151</v>
      </c>
      <c r="C67" t="s">
        <v>5</v>
      </c>
      <c r="D67" t="s">
        <v>174</v>
      </c>
      <c r="E67" t="s">
        <v>571</v>
      </c>
      <c r="F67" t="s">
        <v>12</v>
      </c>
      <c r="G67" t="s">
        <v>15</v>
      </c>
      <c r="H67" t="s">
        <v>16</v>
      </c>
      <c r="I67" t="str">
        <f t="shared" ref="I67:I130" si="1">D67&amp;F67</f>
        <v>Cimaxcol S.A.S.GNCB</v>
      </c>
      <c r="J67" t="str">
        <f>VLOOKUP(I67,[1]Base!$I:$J,2,0)</f>
        <v>Lina del Mar Florez</v>
      </c>
    </row>
    <row r="68" spans="1:10">
      <c r="A68" t="s">
        <v>750</v>
      </c>
      <c r="B68" s="14">
        <v>1002917101</v>
      </c>
      <c r="C68" t="s">
        <v>8</v>
      </c>
      <c r="D68" t="s">
        <v>32</v>
      </c>
      <c r="E68" t="s">
        <v>572</v>
      </c>
      <c r="F68" t="s">
        <v>12</v>
      </c>
      <c r="G68" t="s">
        <v>13</v>
      </c>
      <c r="H68" t="s">
        <v>13</v>
      </c>
      <c r="I68" t="str">
        <f t="shared" si="1"/>
        <v>COLCHONES CARIFON S.A.SGNCB</v>
      </c>
      <c r="J68" t="str">
        <f>VLOOKUP(I68,[1]Base!$I:$J,2,0)</f>
        <v>Lina del Mar Florez</v>
      </c>
    </row>
    <row r="69" spans="1:10">
      <c r="A69" t="s">
        <v>751</v>
      </c>
      <c r="B69" s="14">
        <v>1003130655</v>
      </c>
      <c r="C69" t="s">
        <v>8</v>
      </c>
      <c r="D69" t="s">
        <v>316</v>
      </c>
      <c r="E69" t="s">
        <v>573</v>
      </c>
      <c r="F69" t="s">
        <v>12</v>
      </c>
      <c r="G69" t="s">
        <v>336</v>
      </c>
      <c r="H69" t="s">
        <v>16</v>
      </c>
      <c r="I69" t="str">
        <f t="shared" si="1"/>
        <v>COLCHONES STOPPING S.A.S.GNCB</v>
      </c>
      <c r="J69" t="str">
        <f>VLOOKUP(I69,[1]Base!$I:$J,2,0)</f>
        <v>Lina del Mar Florez</v>
      </c>
    </row>
    <row r="70" spans="1:10">
      <c r="B70" s="14" t="e">
        <v>#N/A</v>
      </c>
      <c r="C70" t="s">
        <v>255</v>
      </c>
      <c r="D70" t="s">
        <v>262</v>
      </c>
      <c r="E70" t="s">
        <v>396</v>
      </c>
      <c r="F70" t="s">
        <v>12</v>
      </c>
      <c r="G70" t="s">
        <v>255</v>
      </c>
      <c r="H70" t="s">
        <v>255</v>
      </c>
      <c r="I70" t="str">
        <f t="shared" si="1"/>
        <v>COLOMBIA GAS VEHICULAR LTDAGNCB</v>
      </c>
      <c r="J70" t="str">
        <f>VLOOKUP(I70,[1]Base!$I:$J,2,0)</f>
        <v>GNV</v>
      </c>
    </row>
    <row r="71" spans="1:10">
      <c r="B71" s="14" t="e">
        <v>#N/A</v>
      </c>
      <c r="C71" t="s">
        <v>255</v>
      </c>
      <c r="D71" t="s">
        <v>262</v>
      </c>
      <c r="E71" t="s">
        <v>396</v>
      </c>
      <c r="F71" t="s">
        <v>6</v>
      </c>
      <c r="G71" t="s">
        <v>255</v>
      </c>
      <c r="H71" t="s">
        <v>255</v>
      </c>
      <c r="I71" t="str">
        <f t="shared" si="1"/>
        <v>COLOMBIA GAS VEHICULAR LTDAVANTI</v>
      </c>
      <c r="J71" t="str">
        <f>VLOOKUP(I71,[1]Base!$I:$J,2,0)</f>
        <v>GNV</v>
      </c>
    </row>
    <row r="72" spans="1:10">
      <c r="B72" s="14" t="e">
        <v>#N/A</v>
      </c>
      <c r="C72" t="s">
        <v>255</v>
      </c>
      <c r="D72" t="s">
        <v>267</v>
      </c>
      <c r="E72" t="s">
        <v>397</v>
      </c>
      <c r="F72" t="s">
        <v>6</v>
      </c>
      <c r="G72" t="s">
        <v>255</v>
      </c>
      <c r="H72" t="s">
        <v>255</v>
      </c>
      <c r="I72" t="str">
        <f t="shared" si="1"/>
        <v>COLOMBIANA AUTOMOTRIZ LTDAVANTI</v>
      </c>
      <c r="J72" t="str">
        <f>VLOOKUP(I72,[1]Base!$I:$J,2,0)</f>
        <v>GNV</v>
      </c>
    </row>
    <row r="73" spans="1:10">
      <c r="B73" s="14" t="e">
        <v>#N/A</v>
      </c>
      <c r="C73" t="s">
        <v>255</v>
      </c>
      <c r="D73" t="s">
        <v>267</v>
      </c>
      <c r="E73" t="s">
        <v>397</v>
      </c>
      <c r="F73" t="s">
        <v>12</v>
      </c>
      <c r="G73" t="s">
        <v>255</v>
      </c>
      <c r="H73" t="s">
        <v>255</v>
      </c>
      <c r="I73" t="str">
        <f t="shared" si="1"/>
        <v>COLOMBIANA AUTOMOTRIZ LTDAGNCB</v>
      </c>
      <c r="J73" t="str">
        <f>VLOOKUP(I73,[1]Base!$I:$J,2,0)</f>
        <v>GNV</v>
      </c>
    </row>
    <row r="74" spans="1:10">
      <c r="A74" t="s">
        <v>752</v>
      </c>
      <c r="B74" s="14">
        <v>1000008276</v>
      </c>
      <c r="C74" t="s">
        <v>18</v>
      </c>
      <c r="D74" t="s">
        <v>33</v>
      </c>
      <c r="E74" t="s">
        <v>398</v>
      </c>
      <c r="F74" t="s">
        <v>17</v>
      </c>
      <c r="G74" t="s">
        <v>304</v>
      </c>
      <c r="H74" t="s">
        <v>290</v>
      </c>
      <c r="I74" t="str">
        <f t="shared" si="1"/>
        <v>COLOMBIANA DE COMERCIOGNC</v>
      </c>
      <c r="J74" t="str">
        <f>VLOOKUP(I74,[1]Base!$I:$J,2,0)</f>
        <v>Lina del Mar Florez</v>
      </c>
    </row>
    <row r="75" spans="1:10">
      <c r="A75" t="s">
        <v>753</v>
      </c>
      <c r="B75" s="14">
        <v>1002919244</v>
      </c>
      <c r="C75" t="s">
        <v>8</v>
      </c>
      <c r="D75" t="s">
        <v>34</v>
      </c>
      <c r="E75" t="s">
        <v>574</v>
      </c>
      <c r="F75" t="s">
        <v>6</v>
      </c>
      <c r="G75" t="s">
        <v>20</v>
      </c>
      <c r="H75" t="s">
        <v>20</v>
      </c>
      <c r="I75" t="str">
        <f t="shared" si="1"/>
        <v>COMERCIALIZADOR SYG TECH S.A.S.VANTI</v>
      </c>
      <c r="J75" t="str">
        <f>VLOOKUP(I75,[1]Base!$I:$J,2,0)</f>
        <v>Juan Carlos Pinilla</v>
      </c>
    </row>
    <row r="76" spans="1:10">
      <c r="A76" t="s">
        <v>754</v>
      </c>
      <c r="B76" s="14">
        <v>1002919466</v>
      </c>
      <c r="C76" t="s">
        <v>5</v>
      </c>
      <c r="D76" t="s">
        <v>35</v>
      </c>
      <c r="E76" t="s">
        <v>575</v>
      </c>
      <c r="F76" t="s">
        <v>12</v>
      </c>
      <c r="G76" t="s">
        <v>22</v>
      </c>
      <c r="H76" t="s">
        <v>16</v>
      </c>
      <c r="I76" t="str">
        <f t="shared" si="1"/>
        <v>Comercializadora de Motos Isaka S.A.S.GNCB</v>
      </c>
      <c r="J76" t="str">
        <f>VLOOKUP(I76,[1]Base!$I:$J,2,0)</f>
        <v>Lina del Mar Florez</v>
      </c>
    </row>
    <row r="77" spans="1:10">
      <c r="A77" t="s">
        <v>755</v>
      </c>
      <c r="B77" s="14">
        <v>1002919239</v>
      </c>
      <c r="C77" t="s">
        <v>36</v>
      </c>
      <c r="D77" t="s">
        <v>37</v>
      </c>
      <c r="E77" t="s">
        <v>399</v>
      </c>
      <c r="F77" t="s">
        <v>6</v>
      </c>
      <c r="G77" t="s">
        <v>305</v>
      </c>
      <c r="H77" t="s">
        <v>305</v>
      </c>
      <c r="I77" t="str">
        <f t="shared" si="1"/>
        <v>Comercializadora ElecktroasVANTI</v>
      </c>
      <c r="J77" t="str">
        <f>VLOOKUP(I77,[1]Base!$I:$J,2,0)</f>
        <v>Lina del Mar Florez</v>
      </c>
    </row>
    <row r="78" spans="1:10">
      <c r="A78" t="s">
        <v>755</v>
      </c>
      <c r="B78" s="14">
        <v>1002919239</v>
      </c>
      <c r="C78" t="s">
        <v>36</v>
      </c>
      <c r="D78" t="s">
        <v>37</v>
      </c>
      <c r="E78" t="s">
        <v>399</v>
      </c>
      <c r="F78" t="s">
        <v>12</v>
      </c>
      <c r="G78" t="s">
        <v>290</v>
      </c>
      <c r="H78" t="s">
        <v>13</v>
      </c>
      <c r="I78" t="str">
        <f t="shared" si="1"/>
        <v>Comercializadora ElecktroasGNCB</v>
      </c>
      <c r="J78" t="str">
        <f>VLOOKUP(I78,[1]Base!$I:$J,2,0)</f>
        <v>Lina del Mar Florez</v>
      </c>
    </row>
    <row r="79" spans="1:10">
      <c r="A79" t="s">
        <v>756</v>
      </c>
      <c r="B79" s="14">
        <v>1003168187</v>
      </c>
      <c r="C79" t="s">
        <v>8</v>
      </c>
      <c r="D79" t="s">
        <v>320</v>
      </c>
      <c r="E79" t="s">
        <v>525</v>
      </c>
      <c r="F79" t="s">
        <v>12</v>
      </c>
      <c r="G79" t="s">
        <v>16</v>
      </c>
      <c r="H79" t="s">
        <v>16</v>
      </c>
      <c r="I79" t="str">
        <f t="shared" si="1"/>
        <v>COMERCIO &amp; MERCADEO JFR S.A.SGNCB</v>
      </c>
      <c r="J79" t="str">
        <f>VLOOKUP(I79,[1]Base!$I:$J,2,0)</f>
        <v>Lina del Mar Florez</v>
      </c>
    </row>
    <row r="80" spans="1:10">
      <c r="A80" t="s">
        <v>756</v>
      </c>
      <c r="B80" s="14">
        <v>1003168187</v>
      </c>
      <c r="C80" t="s">
        <v>8</v>
      </c>
      <c r="D80" t="s">
        <v>320</v>
      </c>
      <c r="E80" t="s">
        <v>525</v>
      </c>
      <c r="F80" t="s">
        <v>6</v>
      </c>
      <c r="G80" t="s">
        <v>16</v>
      </c>
      <c r="H80" t="s">
        <v>20</v>
      </c>
      <c r="I80" t="str">
        <f t="shared" si="1"/>
        <v>COMERCIO &amp; MERCADEO JFR S.A.SVANTI</v>
      </c>
      <c r="J80" t="str">
        <f>VLOOKUP(I80,[1]Base!$I:$J,2,0)</f>
        <v>Juan Carlos Pinilla</v>
      </c>
    </row>
    <row r="81" spans="1:10">
      <c r="A81" t="s">
        <v>757</v>
      </c>
      <c r="B81" s="14">
        <v>1003105427</v>
      </c>
      <c r="C81" t="s">
        <v>8</v>
      </c>
      <c r="D81" t="s">
        <v>284</v>
      </c>
      <c r="E81" t="s">
        <v>400</v>
      </c>
      <c r="F81" t="s">
        <v>12</v>
      </c>
      <c r="G81" t="s">
        <v>13</v>
      </c>
      <c r="H81" t="s">
        <v>13</v>
      </c>
      <c r="I81" t="str">
        <f t="shared" si="1"/>
        <v>Comfer SASGNCB</v>
      </c>
      <c r="J81" t="str">
        <f>VLOOKUP(I81,[1]Base!$I:$J,2,0)</f>
        <v>Lina del Mar Florez</v>
      </c>
    </row>
    <row r="82" spans="1:10">
      <c r="A82" t="s">
        <v>757</v>
      </c>
      <c r="B82" s="14">
        <v>1003105427</v>
      </c>
      <c r="C82" t="s">
        <v>8</v>
      </c>
      <c r="D82" t="s">
        <v>284</v>
      </c>
      <c r="E82" t="s">
        <v>400</v>
      </c>
      <c r="F82" t="s">
        <v>6</v>
      </c>
      <c r="G82" t="s">
        <v>13</v>
      </c>
      <c r="H82" t="s">
        <v>20</v>
      </c>
      <c r="I82" t="str">
        <f t="shared" si="1"/>
        <v>Comfer SASVANTI</v>
      </c>
      <c r="J82" t="str">
        <f>VLOOKUP(I82,[1]Base!$I:$J,2,0)</f>
        <v>Juan Carlos Pinilla</v>
      </c>
    </row>
    <row r="83" spans="1:10">
      <c r="A83" t="s">
        <v>758</v>
      </c>
      <c r="B83" s="14">
        <v>1000008039</v>
      </c>
      <c r="C83" t="s">
        <v>8</v>
      </c>
      <c r="D83" t="s">
        <v>38</v>
      </c>
      <c r="E83" t="s">
        <v>401</v>
      </c>
      <c r="F83" t="s">
        <v>17</v>
      </c>
      <c r="G83" t="s">
        <v>336</v>
      </c>
      <c r="H83" t="s">
        <v>290</v>
      </c>
      <c r="I83" t="str">
        <f t="shared" si="1"/>
        <v>COMPAÑÍA COLOMBIANA DE CERAMICA SASGNC</v>
      </c>
      <c r="J83" t="str">
        <f>VLOOKUP(I83,[1]Base!$I:$J,2,0)</f>
        <v>Lina del Mar Florez</v>
      </c>
    </row>
    <row r="84" spans="1:10">
      <c r="A84" t="s">
        <v>758</v>
      </c>
      <c r="B84" s="14">
        <v>1000008039</v>
      </c>
      <c r="C84" t="s">
        <v>8</v>
      </c>
      <c r="D84" t="s">
        <v>38</v>
      </c>
      <c r="E84" t="s">
        <v>401</v>
      </c>
      <c r="F84" t="s">
        <v>6</v>
      </c>
      <c r="G84" t="s">
        <v>336</v>
      </c>
      <c r="H84" t="s">
        <v>336</v>
      </c>
      <c r="I84" t="str">
        <f t="shared" si="1"/>
        <v>COMPAÑÍA COLOMBIANA DE CERAMICA SASVANTI</v>
      </c>
      <c r="J84" t="str">
        <f>VLOOKUP(I84,[1]Base!$I:$J,2,0)</f>
        <v>Juan Carlos Pinilla</v>
      </c>
    </row>
    <row r="85" spans="1:10">
      <c r="A85" t="s">
        <v>759</v>
      </c>
      <c r="B85" s="14">
        <v>1002909151</v>
      </c>
      <c r="C85" t="s">
        <v>8</v>
      </c>
      <c r="D85" t="s">
        <v>39</v>
      </c>
      <c r="E85" t="s">
        <v>576</v>
      </c>
      <c r="F85" t="s">
        <v>17</v>
      </c>
      <c r="G85" t="s">
        <v>290</v>
      </c>
      <c r="H85" t="s">
        <v>290</v>
      </c>
      <c r="I85" t="str">
        <f t="shared" si="1"/>
        <v>COMPAÑIA DE MARKETING Y SERVICIOS S.A.SGNC</v>
      </c>
      <c r="J85" t="str">
        <f>VLOOKUP(I85,[1]Base!$I:$J,2,0)</f>
        <v>Lina del Mar Florez</v>
      </c>
    </row>
    <row r="86" spans="1:10">
      <c r="A86" t="s">
        <v>759</v>
      </c>
      <c r="B86" s="14">
        <v>1002909151</v>
      </c>
      <c r="C86" t="s">
        <v>8</v>
      </c>
      <c r="D86" t="s">
        <v>39</v>
      </c>
      <c r="E86" t="s">
        <v>576</v>
      </c>
      <c r="F86" t="s">
        <v>6</v>
      </c>
      <c r="G86" t="s">
        <v>290</v>
      </c>
      <c r="H86" t="s">
        <v>20</v>
      </c>
      <c r="I86" t="str">
        <f t="shared" si="1"/>
        <v>COMPAÑIA DE MARKETING Y SERVICIOS S.A.SVANTI</v>
      </c>
      <c r="J86" t="str">
        <f>VLOOKUP(I86,[1]Base!$I:$J,2,0)</f>
        <v>Juan Carlos Pinilla</v>
      </c>
    </row>
    <row r="87" spans="1:10">
      <c r="A87" t="s">
        <v>760</v>
      </c>
      <c r="B87" s="14">
        <v>1003018803</v>
      </c>
      <c r="C87" t="s">
        <v>5</v>
      </c>
      <c r="D87" t="s">
        <v>143</v>
      </c>
      <c r="E87" t="s">
        <v>577</v>
      </c>
      <c r="F87" t="s">
        <v>12</v>
      </c>
      <c r="G87" t="s">
        <v>15</v>
      </c>
      <c r="H87" t="s">
        <v>13</v>
      </c>
      <c r="I87" t="str">
        <f t="shared" si="1"/>
        <v>Compañía Nacional de Motocicletas S.A.S.GNCB</v>
      </c>
      <c r="J87" t="str">
        <f>VLOOKUP(I87,[1]Base!$I:$J,2,0)</f>
        <v>Lina del Mar Florez</v>
      </c>
    </row>
    <row r="88" spans="1:10">
      <c r="A88" t="s">
        <v>761</v>
      </c>
      <c r="B88" s="14">
        <v>1002913429</v>
      </c>
      <c r="C88" t="s">
        <v>8</v>
      </c>
      <c r="D88" t="s">
        <v>41</v>
      </c>
      <c r="E88" t="s">
        <v>402</v>
      </c>
      <c r="F88" t="s">
        <v>17</v>
      </c>
      <c r="G88" t="s">
        <v>290</v>
      </c>
      <c r="H88" t="s">
        <v>290</v>
      </c>
      <c r="I88" t="str">
        <f t="shared" si="1"/>
        <v>COMPULAGO SASGNC</v>
      </c>
      <c r="J88" t="str">
        <f>VLOOKUP(I88,[1]Base!$I:$J,2,0)</f>
        <v>Lina del Mar Florez</v>
      </c>
    </row>
    <row r="89" spans="1:10">
      <c r="A89" t="s">
        <v>762</v>
      </c>
      <c r="B89" s="14">
        <v>1003178175</v>
      </c>
      <c r="C89" t="s">
        <v>8</v>
      </c>
      <c r="D89" t="s">
        <v>325</v>
      </c>
      <c r="E89" t="s">
        <v>403</v>
      </c>
      <c r="F89" t="s">
        <v>12</v>
      </c>
      <c r="G89" t="s">
        <v>16</v>
      </c>
      <c r="H89" t="s">
        <v>16</v>
      </c>
      <c r="I89" t="str">
        <f t="shared" si="1"/>
        <v>COMUNICACIONES M &amp; P SASGNCB</v>
      </c>
      <c r="J89" t="str">
        <f>VLOOKUP(I89,[1]Base!$I:$J,2,0)</f>
        <v>Lina del Mar Florez</v>
      </c>
    </row>
    <row r="90" spans="1:10">
      <c r="B90" s="14" t="e">
        <v>#N/A</v>
      </c>
      <c r="C90" t="s">
        <v>254</v>
      </c>
      <c r="D90" t="s">
        <v>323</v>
      </c>
      <c r="E90" t="s">
        <v>526</v>
      </c>
      <c r="F90" t="s">
        <v>12</v>
      </c>
      <c r="G90" t="s">
        <v>208</v>
      </c>
      <c r="H90" t="s">
        <v>208</v>
      </c>
      <c r="I90" t="str">
        <f t="shared" si="1"/>
        <v>CONNECT ASSISTANCE S.A.SGNCB</v>
      </c>
      <c r="J90" t="str">
        <f>VLOOKUP(I90,[1]Base!$I:$J,2,0)</f>
        <v>Firma Instaladora</v>
      </c>
    </row>
    <row r="91" spans="1:10">
      <c r="B91" s="14" t="e">
        <v>#N/A</v>
      </c>
      <c r="C91" t="s">
        <v>254</v>
      </c>
      <c r="D91" t="s">
        <v>323</v>
      </c>
      <c r="E91" t="s">
        <v>526</v>
      </c>
      <c r="F91" t="s">
        <v>6</v>
      </c>
      <c r="G91" t="s">
        <v>208</v>
      </c>
      <c r="H91" t="s">
        <v>208</v>
      </c>
      <c r="I91" t="str">
        <f t="shared" si="1"/>
        <v>CONNECT ASSISTANCE S.A.SVANTI</v>
      </c>
      <c r="J91" t="str">
        <f>VLOOKUP(I91,[1]Base!$I:$J,2,0)</f>
        <v>Firma Instaladora</v>
      </c>
    </row>
    <row r="92" spans="1:10">
      <c r="A92" t="s">
        <v>763</v>
      </c>
      <c r="B92" s="14">
        <v>1003073169</v>
      </c>
      <c r="C92" t="s">
        <v>5</v>
      </c>
      <c r="D92" t="s">
        <v>293</v>
      </c>
      <c r="E92" t="s">
        <v>578</v>
      </c>
      <c r="F92" t="s">
        <v>12</v>
      </c>
      <c r="G92" t="s">
        <v>22</v>
      </c>
      <c r="H92" t="s">
        <v>16</v>
      </c>
      <c r="I92" t="str">
        <f t="shared" si="1"/>
        <v>COONDOR MOBILITY S.A.SGNCB</v>
      </c>
      <c r="J92" t="str">
        <f>VLOOKUP(I92,[1]Base!$I:$J,2,0)</f>
        <v>Lina del Mar Florez</v>
      </c>
    </row>
    <row r="93" spans="1:10">
      <c r="A93" t="s">
        <v>764</v>
      </c>
      <c r="B93" s="14">
        <v>1003120210</v>
      </c>
      <c r="C93" t="s">
        <v>8</v>
      </c>
      <c r="D93" t="s">
        <v>300</v>
      </c>
      <c r="E93" t="s">
        <v>404</v>
      </c>
      <c r="F93" t="s">
        <v>12</v>
      </c>
      <c r="G93" t="s">
        <v>305</v>
      </c>
      <c r="H93" t="s">
        <v>13</v>
      </c>
      <c r="I93" t="str">
        <f t="shared" si="1"/>
        <v>COOPERATIVA MULTIACTIVA DE LOS TRABAJADORES DE SANTANDER GNCB</v>
      </c>
      <c r="J93" t="str">
        <f>VLOOKUP(I93,[1]Base!$I:$J,2,0)</f>
        <v>Lina del Mar Florez</v>
      </c>
    </row>
    <row r="94" spans="1:10">
      <c r="A94" t="s">
        <v>764</v>
      </c>
      <c r="B94" s="14">
        <v>1003120210</v>
      </c>
      <c r="C94" t="s">
        <v>8</v>
      </c>
      <c r="D94" t="s">
        <v>300</v>
      </c>
      <c r="E94" t="s">
        <v>404</v>
      </c>
      <c r="F94" t="s">
        <v>17</v>
      </c>
      <c r="G94" t="s">
        <v>305</v>
      </c>
      <c r="H94" t="s">
        <v>290</v>
      </c>
      <c r="I94" t="str">
        <f t="shared" si="1"/>
        <v>COOPERATIVA MULTIACTIVA DE LOS TRABAJADORES DE SANTANDER GNC</v>
      </c>
      <c r="J94" t="str">
        <f>VLOOKUP(I94,[1]Base!$I:$J,2,0)</f>
        <v>Lina del Mar Florez</v>
      </c>
    </row>
    <row r="95" spans="1:10">
      <c r="B95" s="14" t="e">
        <v>#N/A</v>
      </c>
      <c r="C95" t="s">
        <v>297</v>
      </c>
      <c r="D95" t="s">
        <v>195</v>
      </c>
      <c r="E95" t="s">
        <v>405</v>
      </c>
      <c r="F95" t="s">
        <v>6</v>
      </c>
      <c r="G95" t="s">
        <v>208</v>
      </c>
      <c r="H95" t="s">
        <v>208</v>
      </c>
      <c r="I95" t="str">
        <f t="shared" si="1"/>
        <v>COOPERATIVA MULTIACTIVA ECO BOSCOVANTI</v>
      </c>
      <c r="J95" t="str">
        <f>VLOOKUP(I95,[1]Base!$I:$J,2,0)</f>
        <v>Firma Instaladora</v>
      </c>
    </row>
    <row r="96" spans="1:10">
      <c r="B96" s="14" t="e">
        <v>#N/A</v>
      </c>
      <c r="C96" t="s">
        <v>297</v>
      </c>
      <c r="D96" t="s">
        <v>195</v>
      </c>
      <c r="E96" t="s">
        <v>405</v>
      </c>
      <c r="F96" t="s">
        <v>12</v>
      </c>
      <c r="G96" t="s">
        <v>208</v>
      </c>
      <c r="H96" t="s">
        <v>208</v>
      </c>
      <c r="I96" t="str">
        <f t="shared" si="1"/>
        <v>COOPERATIVA MULTIACTIVA ECO BOSCOGNCB</v>
      </c>
      <c r="J96" t="str">
        <f>VLOOKUP(I96,[1]Base!$I:$J,2,0)</f>
        <v>Firma Instaladora</v>
      </c>
    </row>
    <row r="97" spans="1:10">
      <c r="A97" t="s">
        <v>765</v>
      </c>
      <c r="B97" s="14">
        <v>1002974513</v>
      </c>
      <c r="C97" t="s">
        <v>5</v>
      </c>
      <c r="D97" t="s">
        <v>122</v>
      </c>
      <c r="E97" t="s">
        <v>579</v>
      </c>
      <c r="F97" t="s">
        <v>17</v>
      </c>
      <c r="G97" t="s">
        <v>22</v>
      </c>
      <c r="H97" t="s">
        <v>290</v>
      </c>
      <c r="I97" t="str">
        <f t="shared" si="1"/>
        <v>Credimotos de Colombia S.A.S.GNC</v>
      </c>
      <c r="J97" t="str">
        <f>VLOOKUP(I97,[1]Base!$I:$J,2,0)</f>
        <v>Lina del Mar Florez</v>
      </c>
    </row>
    <row r="98" spans="1:10">
      <c r="A98" t="s">
        <v>766</v>
      </c>
      <c r="B98" s="14">
        <v>1002957483</v>
      </c>
      <c r="C98" t="s">
        <v>5</v>
      </c>
      <c r="D98" t="s">
        <v>42</v>
      </c>
      <c r="E98" t="s">
        <v>406</v>
      </c>
      <c r="F98" t="s">
        <v>17</v>
      </c>
      <c r="G98" t="s">
        <v>290</v>
      </c>
      <c r="H98" t="s">
        <v>290</v>
      </c>
      <c r="I98" t="str">
        <f t="shared" si="1"/>
        <v>CREDIMOTOS DEL CESAR SASGNC</v>
      </c>
      <c r="J98" t="str">
        <f>VLOOKUP(I98,[1]Base!$I:$J,2,0)</f>
        <v>Lina del Mar Florez</v>
      </c>
    </row>
    <row r="99" spans="1:10">
      <c r="A99" t="s">
        <v>767</v>
      </c>
      <c r="B99" s="14">
        <v>1002977628</v>
      </c>
      <c r="C99" t="s">
        <v>5</v>
      </c>
      <c r="D99" t="s">
        <v>110</v>
      </c>
      <c r="E99" t="s">
        <v>580</v>
      </c>
      <c r="F99" t="s">
        <v>17</v>
      </c>
      <c r="G99" t="s">
        <v>15</v>
      </c>
      <c r="H99" t="s">
        <v>290</v>
      </c>
      <c r="I99" t="str">
        <f t="shared" si="1"/>
        <v>Credimovil de Colombia S.A.S.GNC</v>
      </c>
      <c r="J99" t="str">
        <f>VLOOKUP(I99,[1]Base!$I:$J,2,0)</f>
        <v>Lina del Mar Florez</v>
      </c>
    </row>
    <row r="100" spans="1:10">
      <c r="A100" t="s">
        <v>768</v>
      </c>
      <c r="B100" s="14">
        <v>1002915727</v>
      </c>
      <c r="C100" t="s">
        <v>8</v>
      </c>
      <c r="D100" t="s">
        <v>43</v>
      </c>
      <c r="E100" t="s">
        <v>581</v>
      </c>
      <c r="F100" t="s">
        <v>12</v>
      </c>
      <c r="G100" t="s">
        <v>20</v>
      </c>
      <c r="H100" t="s">
        <v>16</v>
      </c>
      <c r="I100" t="str">
        <f t="shared" si="1"/>
        <v>Decorados y Acabados Ceramicos S.A.S.GNCB</v>
      </c>
      <c r="J100" t="str">
        <f>VLOOKUP(I100,[1]Base!$I:$J,2,0)</f>
        <v>Lina del Mar Florez</v>
      </c>
    </row>
    <row r="101" spans="1:10">
      <c r="A101" t="s">
        <v>769</v>
      </c>
      <c r="B101" s="14">
        <v>1002915914</v>
      </c>
      <c r="C101" t="s">
        <v>5</v>
      </c>
      <c r="D101" t="s">
        <v>44</v>
      </c>
      <c r="E101" t="s">
        <v>582</v>
      </c>
      <c r="F101" t="s">
        <v>12</v>
      </c>
      <c r="G101" t="s">
        <v>15</v>
      </c>
      <c r="H101" t="s">
        <v>16</v>
      </c>
      <c r="I101" t="str">
        <f t="shared" si="1"/>
        <v>Digimotos de Colombia S.A.S.GNCB</v>
      </c>
      <c r="J101" t="str">
        <f>VLOOKUP(I101,[1]Base!$I:$J,2,0)</f>
        <v>Lina del Mar Florez</v>
      </c>
    </row>
    <row r="102" spans="1:10">
      <c r="A102" t="s">
        <v>769</v>
      </c>
      <c r="B102" s="14">
        <v>1002915914</v>
      </c>
      <c r="C102" t="s">
        <v>5</v>
      </c>
      <c r="D102" t="s">
        <v>44</v>
      </c>
      <c r="E102" t="s">
        <v>582</v>
      </c>
      <c r="F102" t="s">
        <v>17</v>
      </c>
      <c r="G102" t="s">
        <v>15</v>
      </c>
      <c r="H102" t="s">
        <v>290</v>
      </c>
      <c r="I102" t="str">
        <f t="shared" si="1"/>
        <v>Digimotos de Colombia S.A.S.GNC</v>
      </c>
      <c r="J102" t="str">
        <f>VLOOKUP(I102,[1]Base!$I:$J,2,0)</f>
        <v>Lina del Mar Florez</v>
      </c>
    </row>
    <row r="103" spans="1:10">
      <c r="A103" t="s">
        <v>770</v>
      </c>
      <c r="B103" s="14">
        <v>1003155317</v>
      </c>
      <c r="C103" t="s">
        <v>8</v>
      </c>
      <c r="D103" t="s">
        <v>322</v>
      </c>
      <c r="E103" t="s">
        <v>527</v>
      </c>
      <c r="F103" t="s">
        <v>6</v>
      </c>
      <c r="G103" t="s">
        <v>305</v>
      </c>
      <c r="H103" t="s">
        <v>20</v>
      </c>
      <c r="I103" t="str">
        <f t="shared" si="1"/>
        <v>DIGITALTECH S.A.SVANTI</v>
      </c>
      <c r="J103" t="str">
        <f>VLOOKUP(I103,[1]Base!$I:$J,2,0)</f>
        <v>Juan Carlos Pinilla</v>
      </c>
    </row>
    <row r="104" spans="1:10">
      <c r="A104" t="s">
        <v>771</v>
      </c>
      <c r="B104" s="14">
        <v>1001347828</v>
      </c>
      <c r="C104" t="s">
        <v>5</v>
      </c>
      <c r="D104" t="s">
        <v>119</v>
      </c>
      <c r="E104" t="s">
        <v>407</v>
      </c>
      <c r="F104" t="s">
        <v>12</v>
      </c>
      <c r="G104" t="s">
        <v>290</v>
      </c>
      <c r="H104" t="s">
        <v>16</v>
      </c>
      <c r="I104" t="str">
        <f t="shared" si="1"/>
        <v>DINA ELAYNE ARIAS CHACÓN GNCB</v>
      </c>
      <c r="J104" t="str">
        <f>VLOOKUP(I104,[1]Base!$I:$J,2,0)</f>
        <v>Lina del Mar Florez</v>
      </c>
    </row>
    <row r="105" spans="1:10">
      <c r="A105" t="s">
        <v>771</v>
      </c>
      <c r="B105" s="14">
        <v>1001347828</v>
      </c>
      <c r="C105" t="s">
        <v>5</v>
      </c>
      <c r="D105" t="s">
        <v>119</v>
      </c>
      <c r="E105" t="s">
        <v>407</v>
      </c>
      <c r="F105" t="s">
        <v>17</v>
      </c>
      <c r="G105" t="s">
        <v>290</v>
      </c>
      <c r="H105" t="s">
        <v>290</v>
      </c>
      <c r="I105" t="str">
        <f t="shared" si="1"/>
        <v>DINA ELAYNE ARIAS CHACÓN GNC</v>
      </c>
      <c r="J105" t="str">
        <f>VLOOKUP(I105,[1]Base!$I:$J,2,0)</f>
        <v>Lina del Mar Florez</v>
      </c>
    </row>
    <row r="106" spans="1:10">
      <c r="A106" t="s">
        <v>750</v>
      </c>
      <c r="B106" s="14">
        <v>1002917101</v>
      </c>
      <c r="C106" t="s">
        <v>8</v>
      </c>
      <c r="D106" t="s">
        <v>45</v>
      </c>
      <c r="E106" t="s">
        <v>583</v>
      </c>
      <c r="F106" t="s">
        <v>12</v>
      </c>
      <c r="G106" t="s">
        <v>20</v>
      </c>
      <c r="H106" t="s">
        <v>16</v>
      </c>
      <c r="I106" t="str">
        <f t="shared" si="1"/>
        <v>Discercol Group S.A.S.GNCB</v>
      </c>
      <c r="J106" t="str">
        <f>VLOOKUP(I106,[1]Base!$I:$J,2,0)</f>
        <v>Lina del Mar Florez</v>
      </c>
    </row>
    <row r="107" spans="1:10">
      <c r="A107" t="s">
        <v>772</v>
      </c>
      <c r="B107" s="14">
        <v>1003082935</v>
      </c>
      <c r="C107" t="s">
        <v>5</v>
      </c>
      <c r="D107" t="s">
        <v>224</v>
      </c>
      <c r="E107" t="s">
        <v>408</v>
      </c>
      <c r="F107" t="s">
        <v>12</v>
      </c>
      <c r="G107" t="s">
        <v>22</v>
      </c>
      <c r="H107" t="s">
        <v>16</v>
      </c>
      <c r="I107" t="str">
        <f t="shared" si="1"/>
        <v>DISMERCA SASGNCB</v>
      </c>
      <c r="J107" t="str">
        <f>VLOOKUP(I107,[1]Base!$I:$J,2,0)</f>
        <v>Lina del Mar Florez</v>
      </c>
    </row>
    <row r="108" spans="1:10">
      <c r="A108" t="s">
        <v>773</v>
      </c>
      <c r="B108" s="14">
        <v>1002953597</v>
      </c>
      <c r="C108" t="s">
        <v>5</v>
      </c>
      <c r="D108" t="s">
        <v>47</v>
      </c>
      <c r="E108" t="s">
        <v>584</v>
      </c>
      <c r="F108" t="s">
        <v>17</v>
      </c>
      <c r="G108" t="s">
        <v>305</v>
      </c>
      <c r="H108" t="s">
        <v>290</v>
      </c>
      <c r="I108" t="str">
        <f t="shared" si="1"/>
        <v>DISTRIBUCIONES EDSOVA S.A.S.GNC</v>
      </c>
      <c r="J108" t="str">
        <f>VLOOKUP(I108,[1]Base!$I:$J,2,0)</f>
        <v>Lina del Mar Florez</v>
      </c>
    </row>
    <row r="109" spans="1:10">
      <c r="A109" t="s">
        <v>774</v>
      </c>
      <c r="B109" s="14">
        <v>1002961200</v>
      </c>
      <c r="C109" t="s">
        <v>5</v>
      </c>
      <c r="D109" t="s">
        <v>123</v>
      </c>
      <c r="E109" t="s">
        <v>585</v>
      </c>
      <c r="F109" t="s">
        <v>6</v>
      </c>
      <c r="G109" t="s">
        <v>15</v>
      </c>
      <c r="H109" t="s">
        <v>15</v>
      </c>
      <c r="I109" t="str">
        <f t="shared" si="1"/>
        <v>Distribuidora de Motores y Movilidad Dimovil S.A.S.VANTI</v>
      </c>
      <c r="J109" t="str">
        <f>VLOOKUP(I109,[1]Base!$I:$J,2,0)</f>
        <v>Juan Carlos Pinilla</v>
      </c>
    </row>
    <row r="110" spans="1:10">
      <c r="A110" t="s">
        <v>775</v>
      </c>
      <c r="B110" s="14">
        <v>1003003607</v>
      </c>
      <c r="C110" t="s">
        <v>5</v>
      </c>
      <c r="D110" t="s">
        <v>216</v>
      </c>
      <c r="E110" t="s">
        <v>586</v>
      </c>
      <c r="F110" t="s">
        <v>6</v>
      </c>
      <c r="G110" t="s">
        <v>305</v>
      </c>
      <c r="H110" t="s">
        <v>22</v>
      </c>
      <c r="I110" t="str">
        <f t="shared" si="1"/>
        <v>Distribuidora Motocentro S.A.SVANTI</v>
      </c>
      <c r="J110" t="str">
        <f>VLOOKUP(I110,[1]Base!$I:$J,2,0)</f>
        <v>Juan Carlos Pinilla</v>
      </c>
    </row>
    <row r="111" spans="1:10">
      <c r="A111" t="s">
        <v>775</v>
      </c>
      <c r="B111" s="14">
        <v>1003003607</v>
      </c>
      <c r="C111" t="s">
        <v>5</v>
      </c>
      <c r="D111" t="s">
        <v>216</v>
      </c>
      <c r="E111" t="s">
        <v>586</v>
      </c>
      <c r="F111" t="s">
        <v>17</v>
      </c>
      <c r="G111" t="s">
        <v>305</v>
      </c>
      <c r="H111" t="s">
        <v>290</v>
      </c>
      <c r="I111" t="str">
        <f t="shared" si="1"/>
        <v>Distribuidora Motocentro S.A.SGNC</v>
      </c>
      <c r="J111" t="str">
        <f>VLOOKUP(I111,[1]Base!$I:$J,2,0)</f>
        <v>Lina del Mar Florez</v>
      </c>
    </row>
    <row r="112" spans="1:10">
      <c r="A112" t="s">
        <v>776</v>
      </c>
      <c r="B112" s="14">
        <v>10000088242</v>
      </c>
      <c r="C112" t="s">
        <v>36</v>
      </c>
      <c r="D112" t="s">
        <v>48</v>
      </c>
      <c r="E112" t="s">
        <v>409</v>
      </c>
      <c r="F112" t="s">
        <v>12</v>
      </c>
      <c r="G112" t="s">
        <v>305</v>
      </c>
      <c r="H112" t="s">
        <v>13</v>
      </c>
      <c r="I112" t="str">
        <f t="shared" si="1"/>
        <v>DISTRIBUIDORA RAYCO SASGNCB</v>
      </c>
      <c r="J112" t="str">
        <f>VLOOKUP(I112,[1]Base!$I:$J,2,0)</f>
        <v>Lina del Mar Florez</v>
      </c>
    </row>
    <row r="113" spans="1:11">
      <c r="A113" t="s">
        <v>776</v>
      </c>
      <c r="B113" s="14">
        <v>10000088242</v>
      </c>
      <c r="C113" t="s">
        <v>36</v>
      </c>
      <c r="D113" t="s">
        <v>48</v>
      </c>
      <c r="E113" t="s">
        <v>409</v>
      </c>
      <c r="F113" t="s">
        <v>17</v>
      </c>
      <c r="G113" t="s">
        <v>305</v>
      </c>
      <c r="H113" t="s">
        <v>290</v>
      </c>
      <c r="I113" t="str">
        <f t="shared" si="1"/>
        <v>DISTRIBUIDORA RAYCO SASGNC</v>
      </c>
      <c r="J113" t="str">
        <f>VLOOKUP(I113,[1]Base!$I:$J,2,0)</f>
        <v>Lina del Mar Florez</v>
      </c>
    </row>
    <row r="114" spans="1:11">
      <c r="A114" t="s">
        <v>776</v>
      </c>
      <c r="B114" s="14">
        <v>10000088242</v>
      </c>
      <c r="C114" t="s">
        <v>36</v>
      </c>
      <c r="D114" t="s">
        <v>48</v>
      </c>
      <c r="E114" t="s">
        <v>409</v>
      </c>
      <c r="F114" t="s">
        <v>6</v>
      </c>
      <c r="G114" t="s">
        <v>305</v>
      </c>
      <c r="H114" t="s">
        <v>305</v>
      </c>
      <c r="I114" t="str">
        <f t="shared" si="1"/>
        <v>DISTRIBUIDORA RAYCO SASVANTI</v>
      </c>
      <c r="J114" t="str">
        <f>VLOOKUP(I114,[1]Base!$I:$J,2,0)</f>
        <v>Lina del Mar Florez</v>
      </c>
    </row>
    <row r="115" spans="1:11">
      <c r="A115" t="s">
        <v>776</v>
      </c>
      <c r="B115" s="14">
        <v>10000088242</v>
      </c>
      <c r="C115" t="s">
        <v>8</v>
      </c>
      <c r="D115" t="s">
        <v>222</v>
      </c>
      <c r="E115" t="s">
        <v>528</v>
      </c>
      <c r="F115" t="s">
        <v>6</v>
      </c>
      <c r="G115" t="s">
        <v>305</v>
      </c>
      <c r="H115" t="s">
        <v>20</v>
      </c>
      <c r="I115" t="str">
        <f t="shared" si="1"/>
        <v>DISTRIBUIDORA REX S.A.S.VANTI</v>
      </c>
      <c r="J115" t="str">
        <f>VLOOKUP(I115,[1]Base!$I:$J,2,0)</f>
        <v>Juan Carlos Pinilla</v>
      </c>
    </row>
    <row r="116" spans="1:11">
      <c r="A116" t="s">
        <v>777</v>
      </c>
      <c r="B116" s="14">
        <v>1002870071</v>
      </c>
      <c r="C116" t="s">
        <v>8</v>
      </c>
      <c r="D116" t="s">
        <v>242</v>
      </c>
      <c r="E116" t="s">
        <v>587</v>
      </c>
      <c r="F116" s="2" t="s">
        <v>6</v>
      </c>
      <c r="G116" t="s">
        <v>16</v>
      </c>
      <c r="H116" t="s">
        <v>20</v>
      </c>
      <c r="I116" t="str">
        <f t="shared" si="1"/>
        <v>DISTRICERAMICAS BLAPER S.AVANTI</v>
      </c>
      <c r="J116" t="str">
        <f>VLOOKUP(I116,[1]Base!$I:$J,2,0)</f>
        <v>Juan Carlos Pinilla</v>
      </c>
    </row>
    <row r="117" spans="1:11">
      <c r="A117" t="s">
        <v>778</v>
      </c>
      <c r="B117" s="14">
        <v>1003003846</v>
      </c>
      <c r="C117" t="s">
        <v>5</v>
      </c>
      <c r="D117" t="s">
        <v>166</v>
      </c>
      <c r="E117" t="s">
        <v>588</v>
      </c>
      <c r="F117" t="s">
        <v>6</v>
      </c>
      <c r="G117" t="s">
        <v>290</v>
      </c>
      <c r="H117" t="s">
        <v>22</v>
      </c>
      <c r="I117" t="str">
        <f t="shared" si="1"/>
        <v>Districolmotos S.A.SVANTI</v>
      </c>
      <c r="J117" t="str">
        <f>VLOOKUP(I117,[1]Base!$I:$J,2,0)</f>
        <v>Juan Carlos Pinilla</v>
      </c>
    </row>
    <row r="118" spans="1:11">
      <c r="A118" s="13" t="s">
        <v>690</v>
      </c>
      <c r="B118" s="16">
        <v>1002951788</v>
      </c>
      <c r="C118" t="s">
        <v>5</v>
      </c>
      <c r="D118" t="s">
        <v>112</v>
      </c>
      <c r="E118" t="s">
        <v>529</v>
      </c>
      <c r="F118" t="s">
        <v>6</v>
      </c>
      <c r="G118" t="s">
        <v>290</v>
      </c>
      <c r="H118" t="s">
        <v>15</v>
      </c>
      <c r="I118" t="str">
        <f t="shared" si="1"/>
        <v>DISTRIFER S.A.S.VANTI</v>
      </c>
      <c r="J118" t="str">
        <f>VLOOKUP(I118,[1]Base!$I:$J,2,0)</f>
        <v>Juan Carlos Pinilla</v>
      </c>
      <c r="K118" t="s">
        <v>310</v>
      </c>
    </row>
    <row r="119" spans="1:11">
      <c r="A119" s="13" t="s">
        <v>690</v>
      </c>
      <c r="B119" s="16">
        <v>1002951788</v>
      </c>
      <c r="C119" t="s">
        <v>5</v>
      </c>
      <c r="D119" t="s">
        <v>112</v>
      </c>
      <c r="E119" t="s">
        <v>529</v>
      </c>
      <c r="F119" t="s">
        <v>17</v>
      </c>
      <c r="G119" t="s">
        <v>290</v>
      </c>
      <c r="H119" t="s">
        <v>290</v>
      </c>
      <c r="I119" t="str">
        <f t="shared" si="1"/>
        <v>DISTRIFER S.A.S.GNC</v>
      </c>
      <c r="J119" t="str">
        <f>VLOOKUP(I119,[1]Base!$I:$J,2,0)</f>
        <v>Lina del Mar Florez</v>
      </c>
      <c r="K119" t="s">
        <v>310</v>
      </c>
    </row>
    <row r="120" spans="1:11">
      <c r="A120" t="s">
        <v>779</v>
      </c>
      <c r="B120" s="14">
        <v>1002972131</v>
      </c>
      <c r="C120" t="s">
        <v>5</v>
      </c>
      <c r="D120" t="s">
        <v>49</v>
      </c>
      <c r="E120" t="s">
        <v>589</v>
      </c>
      <c r="F120" t="s">
        <v>6</v>
      </c>
      <c r="G120" t="s">
        <v>13</v>
      </c>
      <c r="H120" t="s">
        <v>22</v>
      </c>
      <c r="I120" t="str">
        <f t="shared" si="1"/>
        <v>DISTRIMOTOS DE COLOMBIA S.A.SVANTI</v>
      </c>
      <c r="J120" t="str">
        <f>VLOOKUP(I120,[1]Base!$I:$J,2,0)</f>
        <v>Juan Carlos Pinilla</v>
      </c>
    </row>
    <row r="121" spans="1:11">
      <c r="A121" t="s">
        <v>780</v>
      </c>
      <c r="B121" s="14">
        <v>1002957877</v>
      </c>
      <c r="C121" t="s">
        <v>8</v>
      </c>
      <c r="D121" t="s">
        <v>50</v>
      </c>
      <c r="E121" t="s">
        <v>590</v>
      </c>
      <c r="F121" t="s">
        <v>6</v>
      </c>
      <c r="G121" t="s">
        <v>290</v>
      </c>
      <c r="H121" t="s">
        <v>20</v>
      </c>
      <c r="I121" t="str">
        <f t="shared" si="1"/>
        <v>DISTRITODO VS S.A.SVANTI</v>
      </c>
      <c r="J121" t="str">
        <f>VLOOKUP(I121,[1]Base!$I:$J,2,0)</f>
        <v>Juan Carlos Pinilla</v>
      </c>
    </row>
    <row r="122" spans="1:11">
      <c r="A122" t="s">
        <v>781</v>
      </c>
      <c r="B122" s="14">
        <v>1002953625</v>
      </c>
      <c r="C122" t="s">
        <v>5</v>
      </c>
      <c r="D122" t="s">
        <v>51</v>
      </c>
      <c r="E122" t="s">
        <v>591</v>
      </c>
      <c r="F122" t="s">
        <v>17</v>
      </c>
      <c r="G122" t="s">
        <v>15</v>
      </c>
      <c r="H122" t="s">
        <v>290</v>
      </c>
      <c r="I122" t="str">
        <f t="shared" si="1"/>
        <v>DIVERXA S.A.SGNC</v>
      </c>
      <c r="J122" t="str">
        <f>VLOOKUP(I122,[1]Base!$I:$J,2,0)</f>
        <v>Lina del Mar Florez</v>
      </c>
    </row>
    <row r="123" spans="1:11">
      <c r="B123" s="14" t="e">
        <v>#N/A</v>
      </c>
      <c r="C123" t="s">
        <v>297</v>
      </c>
      <c r="D123" t="s">
        <v>232</v>
      </c>
      <c r="E123" t="s">
        <v>410</v>
      </c>
      <c r="F123" t="s">
        <v>6</v>
      </c>
      <c r="G123" t="s">
        <v>208</v>
      </c>
      <c r="H123" t="s">
        <v>208</v>
      </c>
      <c r="I123" t="str">
        <f t="shared" si="1"/>
        <v>DYS CONSTRUCCIONES DE GAS SASVANTI</v>
      </c>
      <c r="J123" t="str">
        <f>VLOOKUP(I123,[1]Base!$I:$J,2,0)</f>
        <v>Firma Instaladora</v>
      </c>
    </row>
    <row r="124" spans="1:11">
      <c r="B124" s="14" t="e">
        <v>#N/A</v>
      </c>
      <c r="C124" t="s">
        <v>297</v>
      </c>
      <c r="D124" t="s">
        <v>232</v>
      </c>
      <c r="E124" t="s">
        <v>410</v>
      </c>
      <c r="F124" t="s">
        <v>12</v>
      </c>
      <c r="G124" t="s">
        <v>208</v>
      </c>
      <c r="H124" t="s">
        <v>208</v>
      </c>
      <c r="I124" t="str">
        <f t="shared" si="1"/>
        <v>DYS CONSTRUCCIONES DE GAS SASGNCB</v>
      </c>
      <c r="J124" t="str">
        <f>VLOOKUP(I124,[1]Base!$I:$J,2,0)</f>
        <v>Firma Instaladora</v>
      </c>
    </row>
    <row r="125" spans="1:11">
      <c r="A125" t="s">
        <v>782</v>
      </c>
      <c r="B125" s="14">
        <v>1002920118</v>
      </c>
      <c r="C125" t="s">
        <v>5</v>
      </c>
      <c r="D125" t="s">
        <v>52</v>
      </c>
      <c r="E125" t="s">
        <v>592</v>
      </c>
      <c r="F125" t="s">
        <v>12</v>
      </c>
      <c r="G125" t="s">
        <v>15</v>
      </c>
      <c r="H125" t="s">
        <v>16</v>
      </c>
      <c r="I125" t="str">
        <f t="shared" si="1"/>
        <v>ECOMOTORES INTERNACIONAL S.A.SGNCB</v>
      </c>
      <c r="J125" t="str">
        <f>VLOOKUP(I125,[1]Base!$I:$J,2,0)</f>
        <v>Lina del Mar Florez</v>
      </c>
    </row>
    <row r="126" spans="1:11">
      <c r="A126" t="s">
        <v>782</v>
      </c>
      <c r="B126" s="14">
        <v>1002920118</v>
      </c>
      <c r="C126" t="s">
        <v>5</v>
      </c>
      <c r="D126" t="s">
        <v>52</v>
      </c>
      <c r="E126" t="s">
        <v>592</v>
      </c>
      <c r="F126" t="s">
        <v>6</v>
      </c>
      <c r="G126" t="s">
        <v>15</v>
      </c>
      <c r="H126" t="s">
        <v>15</v>
      </c>
      <c r="I126" t="str">
        <f t="shared" si="1"/>
        <v>ECOMOTORES INTERNACIONAL S.A.SVANTI</v>
      </c>
      <c r="J126" t="str">
        <f>VLOOKUP(I126,[1]Base!$I:$J,2,0)</f>
        <v>Juan Carlos Pinilla</v>
      </c>
    </row>
    <row r="127" spans="1:11">
      <c r="A127" t="s">
        <v>783</v>
      </c>
      <c r="B127" s="14">
        <v>1002951146</v>
      </c>
      <c r="C127" t="s">
        <v>8</v>
      </c>
      <c r="D127" t="s">
        <v>54</v>
      </c>
      <c r="E127" t="s">
        <v>593</v>
      </c>
      <c r="F127" t="s">
        <v>12</v>
      </c>
      <c r="G127" t="s">
        <v>13</v>
      </c>
      <c r="H127" t="s">
        <v>13</v>
      </c>
      <c r="I127" t="str">
        <f t="shared" si="1"/>
        <v>EL PINTOR PS DISTRIBUCIONES S.A.SGNCB</v>
      </c>
      <c r="J127" t="str">
        <f>VLOOKUP(I127,[1]Base!$I:$J,2,0)</f>
        <v>Lina del Mar Florez</v>
      </c>
    </row>
    <row r="128" spans="1:11">
      <c r="A128" t="s">
        <v>783</v>
      </c>
      <c r="B128" s="14">
        <v>1002951146</v>
      </c>
      <c r="C128" t="s">
        <v>8</v>
      </c>
      <c r="D128" t="s">
        <v>54</v>
      </c>
      <c r="E128" t="s">
        <v>593</v>
      </c>
      <c r="F128" t="s">
        <v>6</v>
      </c>
      <c r="G128" t="s">
        <v>13</v>
      </c>
      <c r="H128" t="s">
        <v>20</v>
      </c>
      <c r="I128" t="str">
        <f t="shared" si="1"/>
        <v>EL PINTOR PS DISTRIBUCIONES S.A.SVANTI</v>
      </c>
      <c r="J128" t="str">
        <f>VLOOKUP(I128,[1]Base!$I:$J,2,0)</f>
        <v>Juan Carlos Pinilla</v>
      </c>
    </row>
    <row r="129" spans="1:10">
      <c r="A129" t="s">
        <v>784</v>
      </c>
      <c r="B129" s="14">
        <v>1003008204</v>
      </c>
      <c r="C129" t="s">
        <v>8</v>
      </c>
      <c r="D129" t="s">
        <v>140</v>
      </c>
      <c r="E129" t="s">
        <v>594</v>
      </c>
      <c r="F129" t="s">
        <v>6</v>
      </c>
      <c r="G129" t="s">
        <v>15</v>
      </c>
      <c r="H129" t="s">
        <v>15</v>
      </c>
      <c r="I129" t="str">
        <f t="shared" si="1"/>
        <v>Electric World S.A.S.VANTI</v>
      </c>
      <c r="J129" t="str">
        <f>VLOOKUP(I129,[1]Base!$I:$J,2,0)</f>
        <v>Juan Carlos Pinilla</v>
      </c>
    </row>
    <row r="130" spans="1:10">
      <c r="A130" t="s">
        <v>785</v>
      </c>
      <c r="B130" s="14">
        <v>1000024431</v>
      </c>
      <c r="C130" t="s">
        <v>36</v>
      </c>
      <c r="D130" t="s">
        <v>55</v>
      </c>
      <c r="E130" t="s">
        <v>595</v>
      </c>
      <c r="F130" t="s">
        <v>12</v>
      </c>
      <c r="G130" t="s">
        <v>290</v>
      </c>
      <c r="H130" t="s">
        <v>16</v>
      </c>
      <c r="I130" t="str">
        <f t="shared" si="1"/>
        <v>ELECTRO AO S.A.SGNCB</v>
      </c>
      <c r="J130" t="str">
        <f>VLOOKUP(I130,[1]Base!$I:$J,2,0)</f>
        <v>Lina del Mar Florez</v>
      </c>
    </row>
    <row r="131" spans="1:10">
      <c r="A131" t="s">
        <v>785</v>
      </c>
      <c r="B131" s="14">
        <v>1000024431</v>
      </c>
      <c r="C131" t="s">
        <v>36</v>
      </c>
      <c r="D131" t="s">
        <v>55</v>
      </c>
      <c r="E131" t="s">
        <v>595</v>
      </c>
      <c r="F131" t="s">
        <v>6</v>
      </c>
      <c r="G131" t="s">
        <v>290</v>
      </c>
      <c r="H131" t="s">
        <v>20</v>
      </c>
      <c r="I131" t="str">
        <f t="shared" ref="I131:I194" si="2">D131&amp;F131</f>
        <v>ELECTRO AO S.A.SVANTI</v>
      </c>
      <c r="J131" t="str">
        <f>VLOOKUP(I131,[1]Base!$I:$J,2,0)</f>
        <v>Juan Carlos Pinilla</v>
      </c>
    </row>
    <row r="132" spans="1:10">
      <c r="A132" t="s">
        <v>786</v>
      </c>
      <c r="B132" s="14">
        <v>1003168183</v>
      </c>
      <c r="C132" t="s">
        <v>8</v>
      </c>
      <c r="D132" t="s">
        <v>330</v>
      </c>
      <c r="E132" t="s">
        <v>596</v>
      </c>
      <c r="F132" t="s">
        <v>12</v>
      </c>
      <c r="G132" t="s">
        <v>16</v>
      </c>
      <c r="H132" t="s">
        <v>16</v>
      </c>
      <c r="I132" t="str">
        <f t="shared" si="2"/>
        <v>ELECTRODOMESTICOS MILLER S.A.SGNCB</v>
      </c>
      <c r="J132" t="str">
        <f>VLOOKUP(I132,[1]Base!$I:$J,2,0)</f>
        <v>Lina del Mar Florez</v>
      </c>
    </row>
    <row r="133" spans="1:10">
      <c r="A133" t="s">
        <v>787</v>
      </c>
      <c r="B133" s="14">
        <v>1003156874</v>
      </c>
      <c r="C133" t="s">
        <v>8</v>
      </c>
      <c r="D133" t="s">
        <v>315</v>
      </c>
      <c r="E133" t="s">
        <v>411</v>
      </c>
      <c r="F133" t="s">
        <v>12</v>
      </c>
      <c r="G133" t="s">
        <v>20</v>
      </c>
      <c r="H133" t="s">
        <v>16</v>
      </c>
      <c r="I133" t="str">
        <f t="shared" si="2"/>
        <v>ELECTROFERIA DE LA CARRERA 13 SASGNCB</v>
      </c>
      <c r="J133" t="str">
        <f>VLOOKUP(I133,[1]Base!$I:$J,2,0)</f>
        <v>Lina del Mar Florez</v>
      </c>
    </row>
    <row r="134" spans="1:10">
      <c r="A134" t="s">
        <v>788</v>
      </c>
      <c r="B134" s="14">
        <v>1003082538</v>
      </c>
      <c r="C134" t="s">
        <v>8</v>
      </c>
      <c r="D134" t="s">
        <v>237</v>
      </c>
      <c r="E134" t="s">
        <v>597</v>
      </c>
      <c r="F134" s="2" t="s">
        <v>12</v>
      </c>
      <c r="G134" t="s">
        <v>20</v>
      </c>
      <c r="H134" t="s">
        <v>16</v>
      </c>
      <c r="I134" t="str">
        <f t="shared" si="2"/>
        <v>EUROPUNTO J.J. SASGNCB</v>
      </c>
      <c r="J134" t="str">
        <f>VLOOKUP(I134,[1]Base!$I:$J,2,0)</f>
        <v>Lina del Mar Florez</v>
      </c>
    </row>
    <row r="135" spans="1:10">
      <c r="A135" t="s">
        <v>788</v>
      </c>
      <c r="B135" s="14">
        <v>1003082538</v>
      </c>
      <c r="C135" t="s">
        <v>8</v>
      </c>
      <c r="D135" t="s">
        <v>237</v>
      </c>
      <c r="E135" t="s">
        <v>597</v>
      </c>
      <c r="F135" t="s">
        <v>17</v>
      </c>
      <c r="G135" t="s">
        <v>20</v>
      </c>
      <c r="H135" t="s">
        <v>290</v>
      </c>
      <c r="I135" t="str">
        <f t="shared" si="2"/>
        <v>EUROPUNTO J.J. SASGNC</v>
      </c>
      <c r="J135" t="str">
        <f>VLOOKUP(I135,[1]Base!$I:$J,2,0)</f>
        <v>Lina del Mar Florez</v>
      </c>
    </row>
    <row r="136" spans="1:10">
      <c r="A136">
        <v>8001538321</v>
      </c>
      <c r="B136" s="14">
        <v>1002954820</v>
      </c>
      <c r="C136" t="s">
        <v>8</v>
      </c>
      <c r="D136" t="s">
        <v>56</v>
      </c>
      <c r="E136" t="s">
        <v>598</v>
      </c>
      <c r="F136" t="s">
        <v>6</v>
      </c>
      <c r="G136" t="s">
        <v>20</v>
      </c>
      <c r="H136" t="s">
        <v>20</v>
      </c>
      <c r="I136" t="str">
        <f t="shared" si="2"/>
        <v>EVOLUTION FITNESS CORPORATION S.A.SVANTI</v>
      </c>
      <c r="J136" t="str">
        <f>VLOOKUP(I136,[1]Base!$I:$J,2,0)</f>
        <v>Juan Carlos Pinilla</v>
      </c>
    </row>
    <row r="137" spans="1:10">
      <c r="A137" t="s">
        <v>789</v>
      </c>
      <c r="B137" s="14">
        <v>1003016987</v>
      </c>
      <c r="C137" t="s">
        <v>8</v>
      </c>
      <c r="D137" t="s">
        <v>169</v>
      </c>
      <c r="E137" t="s">
        <v>599</v>
      </c>
      <c r="F137" t="s">
        <v>6</v>
      </c>
      <c r="G137" t="s">
        <v>304</v>
      </c>
      <c r="H137" t="s">
        <v>304</v>
      </c>
      <c r="I137" t="str">
        <f t="shared" si="2"/>
        <v>FANTASIA ELECTRONICA S.A.SVANTI</v>
      </c>
      <c r="J137" t="str">
        <f>VLOOKUP(I137,[1]Base!$I:$J,2,0)</f>
        <v>Janneth Torres Hernandez</v>
      </c>
    </row>
    <row r="138" spans="1:10">
      <c r="A138" t="s">
        <v>789</v>
      </c>
      <c r="B138" s="14">
        <v>1003016987</v>
      </c>
      <c r="C138" t="s">
        <v>8</v>
      </c>
      <c r="D138" t="s">
        <v>169</v>
      </c>
      <c r="E138" t="s">
        <v>599</v>
      </c>
      <c r="F138" t="s">
        <v>12</v>
      </c>
      <c r="G138" t="s">
        <v>304</v>
      </c>
      <c r="H138" t="s">
        <v>13</v>
      </c>
      <c r="I138" t="str">
        <f t="shared" si="2"/>
        <v>FANTASIA ELECTRONICA S.A.SGNCB</v>
      </c>
      <c r="J138" t="str">
        <f>VLOOKUP(I138,[1]Base!$I:$J,2,0)</f>
        <v>Lina del Mar Florez</v>
      </c>
    </row>
    <row r="139" spans="1:10">
      <c r="B139" s="14" t="e">
        <v>#N/A</v>
      </c>
      <c r="C139" t="s">
        <v>255</v>
      </c>
      <c r="D139" t="s">
        <v>280</v>
      </c>
      <c r="E139" t="s">
        <v>412</v>
      </c>
      <c r="F139" t="s">
        <v>12</v>
      </c>
      <c r="G139" t="s">
        <v>255</v>
      </c>
      <c r="H139" t="s">
        <v>255</v>
      </c>
      <c r="I139" t="str">
        <f t="shared" si="2"/>
        <v>FERAGAS LTDAGNCB</v>
      </c>
      <c r="J139" t="str">
        <f>VLOOKUP(I139,[1]Base!$I:$J,2,0)</f>
        <v>GNV</v>
      </c>
    </row>
    <row r="140" spans="1:10">
      <c r="B140" s="14" t="e">
        <v>#N/A</v>
      </c>
      <c r="C140" t="s">
        <v>255</v>
      </c>
      <c r="D140" t="s">
        <v>280</v>
      </c>
      <c r="E140" t="s">
        <v>412</v>
      </c>
      <c r="F140" t="s">
        <v>6</v>
      </c>
      <c r="G140" t="s">
        <v>255</v>
      </c>
      <c r="H140" t="s">
        <v>255</v>
      </c>
      <c r="I140" t="str">
        <f t="shared" si="2"/>
        <v>FERAGAS LTDAVANTI</v>
      </c>
      <c r="J140" t="str">
        <f>VLOOKUP(I140,[1]Base!$I:$J,2,0)</f>
        <v>GNV</v>
      </c>
    </row>
    <row r="141" spans="1:10">
      <c r="B141" s="14" t="e">
        <v>#N/A</v>
      </c>
      <c r="C141" t="s">
        <v>297</v>
      </c>
      <c r="D141" t="s">
        <v>327</v>
      </c>
      <c r="E141" t="s">
        <v>413</v>
      </c>
      <c r="F141" t="s">
        <v>6</v>
      </c>
      <c r="G141" t="s">
        <v>208</v>
      </c>
      <c r="H141" t="s">
        <v>208</v>
      </c>
      <c r="I141" t="str">
        <f t="shared" si="2"/>
        <v>FERRESERVICIOS JHUKEGAS/ SARA YINETH ORDOÑEZ PEÑUELAVANTI</v>
      </c>
      <c r="J141" t="str">
        <f>VLOOKUP(I141,[1]Base!$I:$J,2,0)</f>
        <v>Firma Instaladora</v>
      </c>
    </row>
    <row r="142" spans="1:10">
      <c r="A142" t="s">
        <v>790</v>
      </c>
      <c r="B142" s="14">
        <v>1000021986</v>
      </c>
      <c r="C142" t="s">
        <v>8</v>
      </c>
      <c r="D142" t="s">
        <v>313</v>
      </c>
      <c r="E142" t="s">
        <v>600</v>
      </c>
      <c r="F142" t="s">
        <v>6</v>
      </c>
      <c r="G142" t="s">
        <v>336</v>
      </c>
      <c r="H142" t="s">
        <v>336</v>
      </c>
      <c r="I142" t="str">
        <f t="shared" si="2"/>
        <v>FERRETERIA LUIS PENAGOS S.A.SVANTI</v>
      </c>
      <c r="J142" t="str">
        <f>VLOOKUP(I142,[1]Base!$I:$J,2,0)</f>
        <v>Juan Carlos Pinilla</v>
      </c>
    </row>
    <row r="143" spans="1:10">
      <c r="A143" t="s">
        <v>791</v>
      </c>
      <c r="B143" s="14">
        <v>1000021839</v>
      </c>
      <c r="C143" t="s">
        <v>8</v>
      </c>
      <c r="D143" t="s">
        <v>57</v>
      </c>
      <c r="E143" t="s">
        <v>414</v>
      </c>
      <c r="F143" t="s">
        <v>6</v>
      </c>
      <c r="G143" t="s">
        <v>336</v>
      </c>
      <c r="H143" t="s">
        <v>336</v>
      </c>
      <c r="I143" t="str">
        <f t="shared" si="2"/>
        <v>FERRICENTROS SASVANTI</v>
      </c>
      <c r="J143" t="str">
        <f>VLOOKUP(I143,[1]Base!$I:$J,2,0)</f>
        <v>Juan Carlos Pinilla</v>
      </c>
    </row>
    <row r="144" spans="1:10">
      <c r="A144" t="s">
        <v>791</v>
      </c>
      <c r="B144" s="14">
        <v>1000021839</v>
      </c>
      <c r="C144" t="s">
        <v>8</v>
      </c>
      <c r="D144" t="s">
        <v>57</v>
      </c>
      <c r="E144" t="s">
        <v>414</v>
      </c>
      <c r="F144" t="s">
        <v>12</v>
      </c>
      <c r="G144" t="s">
        <v>336</v>
      </c>
      <c r="H144" t="s">
        <v>336</v>
      </c>
      <c r="I144" t="str">
        <f t="shared" si="2"/>
        <v>FERRICENTROS SASGNCB</v>
      </c>
      <c r="J144" t="str">
        <f>VLOOKUP(I144,[1]Base!$I:$J,2,0)</f>
        <v>Juan Carlos Pinilla</v>
      </c>
    </row>
    <row r="145" spans="1:10">
      <c r="A145" t="s">
        <v>792</v>
      </c>
      <c r="B145" s="14">
        <v>1003076129</v>
      </c>
      <c r="C145" t="s">
        <v>5</v>
      </c>
      <c r="D145" t="s">
        <v>231</v>
      </c>
      <c r="E145" t="s">
        <v>415</v>
      </c>
      <c r="F145" t="s">
        <v>6</v>
      </c>
      <c r="G145" t="s">
        <v>15</v>
      </c>
      <c r="H145" t="s">
        <v>15</v>
      </c>
      <c r="I145" t="str">
        <f t="shared" si="2"/>
        <v>FRATELLI COLOMBIA SASVANTI</v>
      </c>
      <c r="J145" t="str">
        <f>VLOOKUP(I145,[1]Base!$I:$J,2,0)</f>
        <v>Juan Carlos Pinilla</v>
      </c>
    </row>
    <row r="146" spans="1:10">
      <c r="A146" t="s">
        <v>792</v>
      </c>
      <c r="B146" s="14">
        <v>1003076129</v>
      </c>
      <c r="C146" t="s">
        <v>5</v>
      </c>
      <c r="D146" t="s">
        <v>231</v>
      </c>
      <c r="E146" t="s">
        <v>415</v>
      </c>
      <c r="F146" t="s">
        <v>12</v>
      </c>
      <c r="G146" t="s">
        <v>15</v>
      </c>
      <c r="H146" t="s">
        <v>16</v>
      </c>
      <c r="I146" t="str">
        <f t="shared" si="2"/>
        <v>FRATELLI COLOMBIA SASGNCB</v>
      </c>
      <c r="J146" t="str">
        <f>VLOOKUP(I146,[1]Base!$I:$J,2,0)</f>
        <v>Lina del Mar Florez</v>
      </c>
    </row>
    <row r="147" spans="1:10">
      <c r="A147" t="s">
        <v>793</v>
      </c>
      <c r="B147" s="14">
        <v>1003027116</v>
      </c>
      <c r="C147" t="s">
        <v>8</v>
      </c>
      <c r="D147" t="s">
        <v>238</v>
      </c>
      <c r="E147" t="s">
        <v>601</v>
      </c>
      <c r="F147" t="s">
        <v>17</v>
      </c>
      <c r="G147" t="s">
        <v>290</v>
      </c>
      <c r="H147" t="s">
        <v>290</v>
      </c>
      <c r="I147" t="str">
        <f t="shared" si="2"/>
        <v>FRIO KING IMPORTACIONES Y DISTRIBUCIONES S.A.S.GNC</v>
      </c>
      <c r="J147" t="str">
        <f>VLOOKUP(I147,[1]Base!$I:$J,2,0)</f>
        <v>Lina del Mar Florez</v>
      </c>
    </row>
    <row r="148" spans="1:10">
      <c r="B148" s="14" t="e">
        <v>#N/A</v>
      </c>
      <c r="C148" t="s">
        <v>255</v>
      </c>
      <c r="D148" t="s">
        <v>275</v>
      </c>
      <c r="E148" t="s">
        <v>530</v>
      </c>
      <c r="F148" t="s">
        <v>6</v>
      </c>
      <c r="G148" t="s">
        <v>255</v>
      </c>
      <c r="H148" t="s">
        <v>255</v>
      </c>
      <c r="I148" t="str">
        <f t="shared" si="2"/>
        <v>FUEL GAS SERVICE E.U.VANTI</v>
      </c>
      <c r="J148" t="str">
        <f>VLOOKUP(I148,[1]Base!$I:$J,2,0)</f>
        <v>GNV</v>
      </c>
    </row>
    <row r="149" spans="1:10">
      <c r="A149" t="s">
        <v>794</v>
      </c>
      <c r="B149" s="14">
        <v>1003079979</v>
      </c>
      <c r="C149" t="s">
        <v>8</v>
      </c>
      <c r="D149" t="s">
        <v>239</v>
      </c>
      <c r="E149" t="s">
        <v>531</v>
      </c>
      <c r="F149" t="s">
        <v>6</v>
      </c>
      <c r="G149" t="s">
        <v>16</v>
      </c>
      <c r="H149" t="s">
        <v>20</v>
      </c>
      <c r="I149" t="str">
        <f t="shared" si="2"/>
        <v>FULL HOME BC S.A.SVANTI</v>
      </c>
      <c r="J149" t="str">
        <f>VLOOKUP(I149,[1]Base!$I:$J,2,0)</f>
        <v>Juan Carlos Pinilla</v>
      </c>
    </row>
    <row r="150" spans="1:10">
      <c r="A150" t="s">
        <v>795</v>
      </c>
      <c r="B150" s="14">
        <v>1002950225</v>
      </c>
      <c r="C150" t="s">
        <v>8</v>
      </c>
      <c r="D150" t="s">
        <v>114</v>
      </c>
      <c r="E150" t="s">
        <v>602</v>
      </c>
      <c r="F150" t="s">
        <v>12</v>
      </c>
      <c r="G150" t="s">
        <v>15</v>
      </c>
      <c r="H150" t="s">
        <v>16</v>
      </c>
      <c r="I150" t="str">
        <f t="shared" si="2"/>
        <v>FUN SPOT S.A.SGNCB</v>
      </c>
      <c r="J150" t="str">
        <f>VLOOKUP(I150,[1]Base!$I:$J,2,0)</f>
        <v>Lina del Mar Florez</v>
      </c>
    </row>
    <row r="151" spans="1:10">
      <c r="A151" t="s">
        <v>795</v>
      </c>
      <c r="B151" s="14">
        <v>1002950225</v>
      </c>
      <c r="C151" t="s">
        <v>8</v>
      </c>
      <c r="D151" t="s">
        <v>114</v>
      </c>
      <c r="E151" t="s">
        <v>602</v>
      </c>
      <c r="F151" t="s">
        <v>6</v>
      </c>
      <c r="G151" t="s">
        <v>15</v>
      </c>
      <c r="H151" t="s">
        <v>15</v>
      </c>
      <c r="I151" t="str">
        <f t="shared" si="2"/>
        <v>FUN SPOT S.A.SVANTI</v>
      </c>
      <c r="J151" t="str">
        <f>VLOOKUP(I151,[1]Base!$I:$J,2,0)</f>
        <v>Juan Carlos Pinilla</v>
      </c>
    </row>
    <row r="152" spans="1:10">
      <c r="B152" s="14" t="e">
        <v>#N/A</v>
      </c>
      <c r="C152" t="s">
        <v>297</v>
      </c>
      <c r="D152" t="s">
        <v>294</v>
      </c>
      <c r="E152" t="s">
        <v>532</v>
      </c>
      <c r="F152" t="s">
        <v>6</v>
      </c>
      <c r="G152" t="s">
        <v>208</v>
      </c>
      <c r="H152" t="s">
        <v>208</v>
      </c>
      <c r="I152" t="str">
        <f t="shared" si="2"/>
        <v>G. C. INGENIERIA HIDRAULICA Y GAS S.A.S.VANTI</v>
      </c>
      <c r="J152" t="str">
        <f>VLOOKUP(I152,[1]Base!$I:$J,2,0)</f>
        <v>Firma Instaladora</v>
      </c>
    </row>
    <row r="153" spans="1:10">
      <c r="B153" s="14" t="e">
        <v>#N/A</v>
      </c>
      <c r="C153" t="s">
        <v>297</v>
      </c>
      <c r="D153" t="s">
        <v>294</v>
      </c>
      <c r="E153" t="s">
        <v>532</v>
      </c>
      <c r="F153" t="s">
        <v>12</v>
      </c>
      <c r="G153" t="s">
        <v>208</v>
      </c>
      <c r="H153" t="s">
        <v>208</v>
      </c>
      <c r="I153" t="str">
        <f t="shared" si="2"/>
        <v>G. C. INGENIERIA HIDRAULICA Y GAS S.A.S.GNCB</v>
      </c>
      <c r="J153" t="str">
        <f>VLOOKUP(I153,[1]Base!$I:$J,2,0)</f>
        <v>Firma Instaladora</v>
      </c>
    </row>
    <row r="154" spans="1:10">
      <c r="B154" s="14" t="e">
        <v>#N/A</v>
      </c>
      <c r="C154" t="s">
        <v>255</v>
      </c>
      <c r="D154" t="s">
        <v>265</v>
      </c>
      <c r="E154" t="s">
        <v>416</v>
      </c>
      <c r="F154" t="s">
        <v>6</v>
      </c>
      <c r="G154" t="s">
        <v>255</v>
      </c>
      <c r="H154" t="s">
        <v>255</v>
      </c>
      <c r="I154" t="str">
        <f t="shared" si="2"/>
        <v>GAS INYECCION LTDAVANTI</v>
      </c>
      <c r="J154" t="str">
        <f>VLOOKUP(I154,[1]Base!$I:$J,2,0)</f>
        <v>GNV</v>
      </c>
    </row>
    <row r="155" spans="1:10">
      <c r="B155" s="14" t="e">
        <v>#N/A</v>
      </c>
      <c r="C155" t="s">
        <v>255</v>
      </c>
      <c r="D155" t="s">
        <v>265</v>
      </c>
      <c r="E155" t="s">
        <v>416</v>
      </c>
      <c r="F155" t="s">
        <v>12</v>
      </c>
      <c r="G155" t="s">
        <v>255</v>
      </c>
      <c r="H155" t="s">
        <v>255</v>
      </c>
      <c r="I155" t="str">
        <f t="shared" si="2"/>
        <v>GAS INYECCION LTDAGNCB</v>
      </c>
      <c r="J155" t="str">
        <f>VLOOKUP(I155,[1]Base!$I:$J,2,0)</f>
        <v>GNV</v>
      </c>
    </row>
    <row r="156" spans="1:10">
      <c r="B156" s="14" t="e">
        <v>#N/A</v>
      </c>
      <c r="C156" t="s">
        <v>297</v>
      </c>
      <c r="D156" t="s">
        <v>190</v>
      </c>
      <c r="E156" t="s">
        <v>417</v>
      </c>
      <c r="F156" t="s">
        <v>6</v>
      </c>
      <c r="G156" t="s">
        <v>208</v>
      </c>
      <c r="H156" t="s">
        <v>208</v>
      </c>
      <c r="I156" t="str">
        <f t="shared" si="2"/>
        <v>GAS PLANETS SASVANTI</v>
      </c>
      <c r="J156" t="str">
        <f>VLOOKUP(I156,[1]Base!$I:$J,2,0)</f>
        <v>Firma Instaladora</v>
      </c>
    </row>
    <row r="157" spans="1:10">
      <c r="B157" s="14" t="e">
        <v>#N/A</v>
      </c>
      <c r="C157" t="s">
        <v>297</v>
      </c>
      <c r="D157" t="s">
        <v>192</v>
      </c>
      <c r="E157" t="s">
        <v>418</v>
      </c>
      <c r="F157" t="s">
        <v>6</v>
      </c>
      <c r="G157" t="s">
        <v>208</v>
      </c>
      <c r="H157" t="s">
        <v>208</v>
      </c>
      <c r="I157" t="str">
        <f t="shared" si="2"/>
        <v>GAS VIVIENDA LTDAVANTI</v>
      </c>
      <c r="J157" t="str">
        <f>VLOOKUP(I157,[1]Base!$I:$J,2,0)</f>
        <v>Firma Instaladora</v>
      </c>
    </row>
    <row r="158" spans="1:10">
      <c r="A158" t="s">
        <v>796</v>
      </c>
      <c r="B158" s="14" t="s">
        <v>944</v>
      </c>
      <c r="C158" t="s">
        <v>8</v>
      </c>
      <c r="D158" t="s">
        <v>58</v>
      </c>
      <c r="E158" t="s">
        <v>603</v>
      </c>
      <c r="F158" t="s">
        <v>6</v>
      </c>
      <c r="G158" t="s">
        <v>20</v>
      </c>
      <c r="H158" t="s">
        <v>20</v>
      </c>
      <c r="I158" t="str">
        <f t="shared" si="2"/>
        <v>GBC Accesorios S.A.SVANTI</v>
      </c>
      <c r="J158" t="str">
        <f>VLOOKUP(I158,[1]Base!$I:$J,2,0)</f>
        <v>Juan Carlos Pinilla</v>
      </c>
    </row>
    <row r="159" spans="1:10">
      <c r="A159" t="s">
        <v>797</v>
      </c>
      <c r="B159" s="14">
        <v>1002980344</v>
      </c>
      <c r="C159" t="s">
        <v>8</v>
      </c>
      <c r="D159" t="s">
        <v>149</v>
      </c>
      <c r="E159" t="s">
        <v>419</v>
      </c>
      <c r="F159" t="s">
        <v>6</v>
      </c>
      <c r="G159" t="s">
        <v>290</v>
      </c>
      <c r="H159" t="s">
        <v>20</v>
      </c>
      <c r="I159" t="str">
        <f t="shared" si="2"/>
        <v>GELVER ANTONIO ORTEGA SANCHEZVANTI</v>
      </c>
      <c r="J159" t="str">
        <f>VLOOKUP(I159,[1]Base!$I:$J,2,0)</f>
        <v>Juan Carlos Pinilla</v>
      </c>
    </row>
    <row r="160" spans="1:10">
      <c r="A160" t="s">
        <v>798</v>
      </c>
      <c r="B160" s="14">
        <v>1002915744</v>
      </c>
      <c r="C160" t="s">
        <v>36</v>
      </c>
      <c r="D160" t="s">
        <v>59</v>
      </c>
      <c r="E160" t="s">
        <v>604</v>
      </c>
      <c r="F160" t="s">
        <v>12</v>
      </c>
      <c r="G160" t="s">
        <v>16</v>
      </c>
      <c r="H160" t="s">
        <v>16</v>
      </c>
      <c r="I160" t="str">
        <f t="shared" si="2"/>
        <v>GLOBAL DANACOR S.A.S GNCB</v>
      </c>
      <c r="J160" t="str">
        <f>VLOOKUP(I160,[1]Base!$I:$J,2,0)</f>
        <v>Lina del Mar Florez</v>
      </c>
    </row>
    <row r="161" spans="1:11">
      <c r="B161" s="14" t="e">
        <v>#N/A</v>
      </c>
      <c r="C161" t="s">
        <v>297</v>
      </c>
      <c r="D161" t="s">
        <v>200</v>
      </c>
      <c r="E161" t="s">
        <v>420</v>
      </c>
      <c r="F161" t="s">
        <v>6</v>
      </c>
      <c r="G161" t="s">
        <v>208</v>
      </c>
      <c r="H161" t="s">
        <v>208</v>
      </c>
      <c r="I161" t="str">
        <f t="shared" si="2"/>
        <v>GLOBAL GASVANTI</v>
      </c>
      <c r="J161" t="str">
        <f>VLOOKUP(I161,[1]Base!$I:$J,2,0)</f>
        <v>Firma Instaladora</v>
      </c>
    </row>
    <row r="162" spans="1:11">
      <c r="A162" t="s">
        <v>799</v>
      </c>
      <c r="B162" s="14">
        <v>1000008537</v>
      </c>
      <c r="C162" t="s">
        <v>8</v>
      </c>
      <c r="D162" t="s">
        <v>60</v>
      </c>
      <c r="E162" t="s">
        <v>421</v>
      </c>
      <c r="F162" t="s">
        <v>6</v>
      </c>
      <c r="G162" t="s">
        <v>20</v>
      </c>
      <c r="H162" t="s">
        <v>20</v>
      </c>
      <c r="I162" t="str">
        <f t="shared" si="2"/>
        <v>GNP GRUPO NACIONAL DE PROYECTOS S A SVANTI</v>
      </c>
      <c r="J162" t="str">
        <f>VLOOKUP(I162,[1]Base!$I:$J,2,0)</f>
        <v>Juan Carlos Pinilla</v>
      </c>
    </row>
    <row r="163" spans="1:11">
      <c r="A163" t="s">
        <v>799</v>
      </c>
      <c r="B163" s="14">
        <v>1000008537</v>
      </c>
      <c r="C163" t="s">
        <v>8</v>
      </c>
      <c r="D163" t="s">
        <v>60</v>
      </c>
      <c r="E163" t="s">
        <v>421</v>
      </c>
      <c r="F163" t="s">
        <v>17</v>
      </c>
      <c r="G163" t="s">
        <v>20</v>
      </c>
      <c r="H163" t="s">
        <v>290</v>
      </c>
      <c r="I163" t="str">
        <f t="shared" si="2"/>
        <v>GNP GRUPO NACIONAL DE PROYECTOS S A SGNC</v>
      </c>
      <c r="J163" t="str">
        <f>VLOOKUP(I163,[1]Base!$I:$J,2,0)</f>
        <v>Lina del Mar Florez</v>
      </c>
    </row>
    <row r="164" spans="1:11">
      <c r="A164" t="s">
        <v>800</v>
      </c>
      <c r="B164" s="14">
        <v>1002953180</v>
      </c>
      <c r="C164" t="s">
        <v>5</v>
      </c>
      <c r="D164" t="s">
        <v>61</v>
      </c>
      <c r="E164" t="s">
        <v>605</v>
      </c>
      <c r="F164" t="s">
        <v>6</v>
      </c>
      <c r="G164" t="s">
        <v>15</v>
      </c>
      <c r="H164" t="s">
        <v>15</v>
      </c>
      <c r="I164" t="str">
        <f t="shared" si="2"/>
        <v>GOMENAL S.A.SVANTI</v>
      </c>
      <c r="J164" t="str">
        <f>VLOOKUP(I164,[1]Base!$I:$J,2,0)</f>
        <v>Juan Carlos Pinilla</v>
      </c>
    </row>
    <row r="165" spans="1:11">
      <c r="A165" t="s">
        <v>800</v>
      </c>
      <c r="B165" s="14">
        <v>1002953180</v>
      </c>
      <c r="C165" t="s">
        <v>5</v>
      </c>
      <c r="D165" t="s">
        <v>61</v>
      </c>
      <c r="E165" t="s">
        <v>605</v>
      </c>
      <c r="F165" t="s">
        <v>12</v>
      </c>
      <c r="G165" t="s">
        <v>15</v>
      </c>
      <c r="H165" t="s">
        <v>16</v>
      </c>
      <c r="I165" t="str">
        <f t="shared" si="2"/>
        <v>GOMENAL S.A.SGNCB</v>
      </c>
      <c r="J165" t="str">
        <f>VLOOKUP(I165,[1]Base!$I:$J,2,0)</f>
        <v>Lina del Mar Florez</v>
      </c>
    </row>
    <row r="166" spans="1:11">
      <c r="A166" t="s">
        <v>801</v>
      </c>
      <c r="B166" s="14">
        <v>1003019591</v>
      </c>
      <c r="C166" t="s">
        <v>5</v>
      </c>
      <c r="D166" t="s">
        <v>163</v>
      </c>
      <c r="E166" t="s">
        <v>606</v>
      </c>
      <c r="F166" t="s">
        <v>12</v>
      </c>
      <c r="G166" t="s">
        <v>22</v>
      </c>
      <c r="H166" t="s">
        <v>16</v>
      </c>
      <c r="I166" t="str">
        <f t="shared" si="2"/>
        <v>Gomez y Cia S.A.S.GNCB</v>
      </c>
      <c r="J166" t="str">
        <f>VLOOKUP(I166,[1]Base!$I:$J,2,0)</f>
        <v>Lina del Mar Florez</v>
      </c>
    </row>
    <row r="167" spans="1:11">
      <c r="A167" t="s">
        <v>802</v>
      </c>
      <c r="B167" s="14">
        <v>1003131109</v>
      </c>
      <c r="C167" t="s">
        <v>8</v>
      </c>
      <c r="D167" t="s">
        <v>317</v>
      </c>
      <c r="E167" t="s">
        <v>607</v>
      </c>
      <c r="F167" t="s">
        <v>17</v>
      </c>
      <c r="G167" t="s">
        <v>305</v>
      </c>
      <c r="H167" t="s">
        <v>290</v>
      </c>
      <c r="I167" t="str">
        <f t="shared" si="2"/>
        <v>GRUPO FERRETERO F.C. S.A.S.GNC</v>
      </c>
      <c r="J167" t="str">
        <f>VLOOKUP(I167,[1]Base!$I:$J,2,0)</f>
        <v>Lina del Mar Florez</v>
      </c>
    </row>
    <row r="168" spans="1:11">
      <c r="A168" s="13" t="s">
        <v>693</v>
      </c>
      <c r="B168" s="16">
        <v>1003013225</v>
      </c>
      <c r="C168" t="s">
        <v>8</v>
      </c>
      <c r="D168" t="s">
        <v>62</v>
      </c>
      <c r="E168" t="s">
        <v>422</v>
      </c>
      <c r="F168" t="s">
        <v>12</v>
      </c>
      <c r="G168" t="s">
        <v>336</v>
      </c>
      <c r="H168" t="s">
        <v>13</v>
      </c>
      <c r="I168" t="str">
        <f t="shared" si="2"/>
        <v>GRUPO KASAMIA S A SGNCB</v>
      </c>
      <c r="J168" t="str">
        <f>VLOOKUP(I168,[1]Base!$I:$J,2,0)</f>
        <v>Lina del Mar Florez</v>
      </c>
      <c r="K168" t="s">
        <v>256</v>
      </c>
    </row>
    <row r="169" spans="1:11">
      <c r="A169" s="13" t="s">
        <v>693</v>
      </c>
      <c r="B169" s="16">
        <v>1003013225</v>
      </c>
      <c r="C169" t="s">
        <v>8</v>
      </c>
      <c r="D169" t="s">
        <v>62</v>
      </c>
      <c r="E169" t="s">
        <v>422</v>
      </c>
      <c r="F169" t="s">
        <v>6</v>
      </c>
      <c r="G169" t="s">
        <v>336</v>
      </c>
      <c r="H169" t="s">
        <v>336</v>
      </c>
      <c r="I169" t="str">
        <f t="shared" si="2"/>
        <v>GRUPO KASAMIA S A SVANTI</v>
      </c>
      <c r="J169" t="str">
        <f>VLOOKUP(I169,[1]Base!$I:$J,2,0)</f>
        <v>Juan Carlos Pinilla</v>
      </c>
      <c r="K169" t="s">
        <v>256</v>
      </c>
    </row>
    <row r="170" spans="1:11">
      <c r="A170" t="s">
        <v>803</v>
      </c>
      <c r="B170" s="14">
        <v>1002920104</v>
      </c>
      <c r="C170" t="s">
        <v>36</v>
      </c>
      <c r="D170" t="s">
        <v>64</v>
      </c>
      <c r="E170" t="s">
        <v>608</v>
      </c>
      <c r="F170" t="s">
        <v>17</v>
      </c>
      <c r="G170" t="s">
        <v>7</v>
      </c>
      <c r="H170" t="s">
        <v>290</v>
      </c>
      <c r="I170" t="str">
        <f t="shared" si="2"/>
        <v>GRUPO MERPES S.A.SGNC</v>
      </c>
      <c r="J170" t="str">
        <f>VLOOKUP(I170,[1]Base!$I:$J,2,0)</f>
        <v>Lina del Mar Florez</v>
      </c>
    </row>
    <row r="171" spans="1:11">
      <c r="A171" t="s">
        <v>804</v>
      </c>
      <c r="B171" s="14">
        <v>1002965236</v>
      </c>
      <c r="C171" t="s">
        <v>5</v>
      </c>
      <c r="D171" t="s">
        <v>65</v>
      </c>
      <c r="E171" t="s">
        <v>609</v>
      </c>
      <c r="F171" t="s">
        <v>17</v>
      </c>
      <c r="G171" t="s">
        <v>22</v>
      </c>
      <c r="H171" t="s">
        <v>290</v>
      </c>
      <c r="I171" t="str">
        <f t="shared" si="2"/>
        <v>Grupo Supermotos S.A.S.GNC</v>
      </c>
      <c r="J171" t="str">
        <f>VLOOKUP(I171,[1]Base!$I:$J,2,0)</f>
        <v>Lina del Mar Florez</v>
      </c>
    </row>
    <row r="172" spans="1:11">
      <c r="A172" t="s">
        <v>805</v>
      </c>
      <c r="B172" s="14">
        <v>1002994671</v>
      </c>
      <c r="C172" t="s">
        <v>5</v>
      </c>
      <c r="D172" t="s">
        <v>161</v>
      </c>
      <c r="E172" t="s">
        <v>610</v>
      </c>
      <c r="F172" t="s">
        <v>12</v>
      </c>
      <c r="G172" t="s">
        <v>15</v>
      </c>
      <c r="H172" t="s">
        <v>16</v>
      </c>
      <c r="I172" t="str">
        <f t="shared" si="2"/>
        <v>Grupo UMA S.A.S.GNCB</v>
      </c>
      <c r="J172" t="str">
        <f>VLOOKUP(I172,[1]Base!$I:$J,2,0)</f>
        <v>Lina del Mar Florez</v>
      </c>
    </row>
    <row r="173" spans="1:11">
      <c r="A173" t="s">
        <v>805</v>
      </c>
      <c r="B173" s="14">
        <v>1002994671</v>
      </c>
      <c r="C173" t="s">
        <v>5</v>
      </c>
      <c r="D173" t="s">
        <v>161</v>
      </c>
      <c r="E173" t="s">
        <v>610</v>
      </c>
      <c r="F173" t="s">
        <v>17</v>
      </c>
      <c r="G173" t="s">
        <v>15</v>
      </c>
      <c r="H173" t="s">
        <v>290</v>
      </c>
      <c r="I173" t="str">
        <f t="shared" si="2"/>
        <v>Grupo UMA S.A.S.GNC</v>
      </c>
      <c r="J173" t="str">
        <f>VLOOKUP(I173,[1]Base!$I:$J,2,0)</f>
        <v>Lina del Mar Florez</v>
      </c>
    </row>
    <row r="174" spans="1:11">
      <c r="A174" t="s">
        <v>806</v>
      </c>
      <c r="B174" s="14">
        <v>1003184580</v>
      </c>
      <c r="C174" t="s">
        <v>8</v>
      </c>
      <c r="D174" t="s">
        <v>333</v>
      </c>
      <c r="E174" t="s">
        <v>611</v>
      </c>
      <c r="F174" t="s">
        <v>6</v>
      </c>
      <c r="G174" t="s">
        <v>7</v>
      </c>
      <c r="H174" t="s">
        <v>7</v>
      </c>
      <c r="I174" t="str">
        <f t="shared" si="2"/>
        <v>GRUPO VISUALIZZA S.A.SVANTI</v>
      </c>
      <c r="J174" t="str">
        <f>VLOOKUP(I174,[1]Base!$I:$J,2,0)</f>
        <v>Juan Carlos Pinilla</v>
      </c>
    </row>
    <row r="175" spans="1:11">
      <c r="A175" t="s">
        <v>807</v>
      </c>
      <c r="B175" s="14">
        <v>1002945594</v>
      </c>
      <c r="C175" t="s">
        <v>5</v>
      </c>
      <c r="D175" t="s">
        <v>66</v>
      </c>
      <c r="E175" t="s">
        <v>612</v>
      </c>
      <c r="F175" t="s">
        <v>6</v>
      </c>
      <c r="G175" t="s">
        <v>16</v>
      </c>
      <c r="H175" t="s">
        <v>22</v>
      </c>
      <c r="I175" t="str">
        <f t="shared" si="2"/>
        <v>Hannas Motos S.A.S.VANTI</v>
      </c>
      <c r="J175" t="str">
        <f>VLOOKUP(I175,[1]Base!$I:$J,2,0)</f>
        <v>Juan Carlos Pinilla</v>
      </c>
    </row>
    <row r="176" spans="1:11">
      <c r="A176" t="s">
        <v>807</v>
      </c>
      <c r="B176" s="14">
        <v>1002945594</v>
      </c>
      <c r="C176" t="s">
        <v>5</v>
      </c>
      <c r="D176" t="s">
        <v>66</v>
      </c>
      <c r="E176" t="s">
        <v>612</v>
      </c>
      <c r="F176" t="s">
        <v>12</v>
      </c>
      <c r="G176" t="s">
        <v>16</v>
      </c>
      <c r="H176" t="s">
        <v>16</v>
      </c>
      <c r="I176" t="str">
        <f t="shared" si="2"/>
        <v>Hannas Motos S.A.S.GNCB</v>
      </c>
      <c r="J176" t="str">
        <f>VLOOKUP(I176,[1]Base!$I:$J,2,0)</f>
        <v>Lina del Mar Florez</v>
      </c>
    </row>
    <row r="177" spans="1:10">
      <c r="A177" t="s">
        <v>808</v>
      </c>
      <c r="B177" s="14" t="s">
        <v>945</v>
      </c>
      <c r="C177" t="s">
        <v>5</v>
      </c>
      <c r="D177" t="s">
        <v>67</v>
      </c>
      <c r="E177" t="s">
        <v>423</v>
      </c>
      <c r="F177" t="s">
        <v>12</v>
      </c>
      <c r="G177" t="s">
        <v>305</v>
      </c>
      <c r="H177" t="s">
        <v>16</v>
      </c>
      <c r="I177" t="str">
        <f t="shared" si="2"/>
        <v>HENRY ALEXANDER MARTINEZ HERNANDEZ - HENRYMOTOS2GNCB</v>
      </c>
      <c r="J177" t="str">
        <f>VLOOKUP(I177,[1]Base!$I:$J,2,0)</f>
        <v>Lina del Mar Florez</v>
      </c>
    </row>
    <row r="178" spans="1:10">
      <c r="B178" s="14" t="e">
        <v>#N/A</v>
      </c>
      <c r="C178" t="s">
        <v>297</v>
      </c>
      <c r="D178" t="s">
        <v>184</v>
      </c>
      <c r="E178" t="s">
        <v>424</v>
      </c>
      <c r="F178" t="s">
        <v>12</v>
      </c>
      <c r="G178" t="s">
        <v>208</v>
      </c>
      <c r="H178" t="s">
        <v>208</v>
      </c>
      <c r="I178" t="str">
        <f t="shared" si="2"/>
        <v>HERNANDEZ NARANJO DORA EDITH / DH INGENIERIA DE GASGNCB</v>
      </c>
      <c r="J178" t="str">
        <f>VLOOKUP(I178,[1]Base!$I:$J,2,0)</f>
        <v>Firma Instaladora</v>
      </c>
    </row>
    <row r="179" spans="1:10">
      <c r="A179" t="s">
        <v>809</v>
      </c>
      <c r="B179" s="14">
        <v>1002194463</v>
      </c>
      <c r="C179" t="s">
        <v>5</v>
      </c>
      <c r="D179" t="s">
        <v>181</v>
      </c>
      <c r="E179" t="s">
        <v>425</v>
      </c>
      <c r="F179" t="s">
        <v>6</v>
      </c>
      <c r="G179" t="s">
        <v>15</v>
      </c>
      <c r="H179" t="s">
        <v>15</v>
      </c>
      <c r="I179" t="str">
        <f t="shared" si="2"/>
        <v>Higinio CamachoVANTI</v>
      </c>
      <c r="J179" t="str">
        <f>VLOOKUP(I179,[1]Base!$I:$J,2,0)</f>
        <v>Juan Carlos Pinilla</v>
      </c>
    </row>
    <row r="180" spans="1:10">
      <c r="A180" t="s">
        <v>809</v>
      </c>
      <c r="B180" s="14">
        <v>1002194463</v>
      </c>
      <c r="C180" t="s">
        <v>5</v>
      </c>
      <c r="D180" t="s">
        <v>181</v>
      </c>
      <c r="E180" t="s">
        <v>425</v>
      </c>
      <c r="F180" t="s">
        <v>17</v>
      </c>
      <c r="G180" t="s">
        <v>15</v>
      </c>
      <c r="H180" t="s">
        <v>290</v>
      </c>
      <c r="I180" t="str">
        <f t="shared" si="2"/>
        <v>Higinio CamachoGNC</v>
      </c>
      <c r="J180" t="str">
        <f>VLOOKUP(I180,[1]Base!$I:$J,2,0)</f>
        <v>Lina del Mar Florez</v>
      </c>
    </row>
    <row r="181" spans="1:10">
      <c r="A181" t="s">
        <v>809</v>
      </c>
      <c r="B181" s="14">
        <v>1002194463</v>
      </c>
      <c r="C181" t="s">
        <v>5</v>
      </c>
      <c r="D181" t="s">
        <v>181</v>
      </c>
      <c r="E181" t="s">
        <v>425</v>
      </c>
      <c r="F181" t="s">
        <v>12</v>
      </c>
      <c r="G181" t="s">
        <v>15</v>
      </c>
      <c r="H181" t="s">
        <v>16</v>
      </c>
      <c r="I181" t="str">
        <f t="shared" si="2"/>
        <v>Higinio CamachoGNCB</v>
      </c>
      <c r="J181" t="str">
        <f>VLOOKUP(I181,[1]Base!$I:$J,2,0)</f>
        <v>Lina del Mar Florez</v>
      </c>
    </row>
    <row r="182" spans="1:10">
      <c r="A182" t="s">
        <v>810</v>
      </c>
      <c r="B182" s="14">
        <v>1003122805</v>
      </c>
      <c r="C182" t="s">
        <v>5</v>
      </c>
      <c r="D182" t="s">
        <v>308</v>
      </c>
      <c r="E182" t="s">
        <v>613</v>
      </c>
      <c r="F182" t="s">
        <v>17</v>
      </c>
      <c r="G182" t="s">
        <v>22</v>
      </c>
      <c r="H182" t="s">
        <v>290</v>
      </c>
      <c r="I182" t="str">
        <f t="shared" si="2"/>
        <v>HMCL COLOMBIA S.A.S.GNC</v>
      </c>
      <c r="J182" t="str">
        <f>VLOOKUP(I182,[1]Base!$I:$J,2,0)</f>
        <v>Lina del Mar Florez</v>
      </c>
    </row>
    <row r="183" spans="1:10">
      <c r="A183" t="s">
        <v>811</v>
      </c>
      <c r="B183" s="14">
        <v>1002965615</v>
      </c>
      <c r="C183" t="s">
        <v>8</v>
      </c>
      <c r="D183" t="s">
        <v>312</v>
      </c>
      <c r="E183" t="s">
        <v>533</v>
      </c>
      <c r="F183" t="s">
        <v>12</v>
      </c>
      <c r="G183" t="s">
        <v>13</v>
      </c>
      <c r="H183" t="s">
        <v>13</v>
      </c>
      <c r="I183" t="str">
        <f t="shared" si="2"/>
        <v>HOGAR VENECIA MUEBLES S.A.S.GNCB</v>
      </c>
      <c r="J183" t="str">
        <f>VLOOKUP(I183,[1]Base!$I:$J,2,0)</f>
        <v>Lina del Mar Florez</v>
      </c>
    </row>
    <row r="184" spans="1:10">
      <c r="A184" t="s">
        <v>811</v>
      </c>
      <c r="B184" s="14">
        <v>1002965615</v>
      </c>
      <c r="C184" t="s">
        <v>8</v>
      </c>
      <c r="D184" t="s">
        <v>312</v>
      </c>
      <c r="E184" t="s">
        <v>533</v>
      </c>
      <c r="F184" t="s">
        <v>6</v>
      </c>
      <c r="G184" t="s">
        <v>13</v>
      </c>
      <c r="H184" t="s">
        <v>20</v>
      </c>
      <c r="I184" t="str">
        <f t="shared" si="2"/>
        <v>HOGAR VENECIA MUEBLES S.A.S.VANTI</v>
      </c>
      <c r="J184" t="str">
        <f>VLOOKUP(I184,[1]Base!$I:$J,2,0)</f>
        <v>Juan Carlos Pinilla</v>
      </c>
    </row>
    <row r="185" spans="1:10">
      <c r="A185" t="s">
        <v>812</v>
      </c>
      <c r="B185" s="14">
        <v>1003019048</v>
      </c>
      <c r="C185" t="s">
        <v>5</v>
      </c>
      <c r="D185" t="s">
        <v>173</v>
      </c>
      <c r="E185" t="s">
        <v>614</v>
      </c>
      <c r="F185" t="s">
        <v>12</v>
      </c>
      <c r="G185" t="s">
        <v>22</v>
      </c>
      <c r="H185" t="s">
        <v>16</v>
      </c>
      <c r="I185" t="str">
        <f t="shared" si="2"/>
        <v>Holding Motor Group S.A.S.GNCB</v>
      </c>
      <c r="J185" t="str">
        <f>VLOOKUP(I185,[1]Base!$I:$J,2,0)</f>
        <v>Lina del Mar Florez</v>
      </c>
    </row>
    <row r="186" spans="1:10">
      <c r="A186" t="s">
        <v>813</v>
      </c>
      <c r="B186" s="14">
        <v>1003086785</v>
      </c>
      <c r="C186" t="s">
        <v>8</v>
      </c>
      <c r="D186" t="s">
        <v>240</v>
      </c>
      <c r="E186" t="s">
        <v>615</v>
      </c>
      <c r="F186" t="s">
        <v>6</v>
      </c>
      <c r="G186" t="s">
        <v>336</v>
      </c>
      <c r="H186" t="s">
        <v>336</v>
      </c>
      <c r="I186" t="str">
        <f t="shared" si="2"/>
        <v>HOME STYLE EUROPA S.A.SVANTI</v>
      </c>
      <c r="J186" t="str">
        <f>VLOOKUP(I186,[1]Base!$I:$J,2,0)</f>
        <v>Juan Carlos Pinilla</v>
      </c>
    </row>
    <row r="187" spans="1:10">
      <c r="A187" t="s">
        <v>813</v>
      </c>
      <c r="B187" s="14">
        <v>1003086785</v>
      </c>
      <c r="C187" t="s">
        <v>8</v>
      </c>
      <c r="D187" t="s">
        <v>240</v>
      </c>
      <c r="E187" t="s">
        <v>615</v>
      </c>
      <c r="F187" t="s">
        <v>12</v>
      </c>
      <c r="G187" t="s">
        <v>336</v>
      </c>
      <c r="H187" t="s">
        <v>16</v>
      </c>
      <c r="I187" t="str">
        <f t="shared" si="2"/>
        <v>HOME STYLE EUROPA S.A.SGNCB</v>
      </c>
      <c r="J187" t="str">
        <f>VLOOKUP(I187,[1]Base!$I:$J,2,0)</f>
        <v>Lina del Mar Florez</v>
      </c>
    </row>
    <row r="188" spans="1:10">
      <c r="A188" t="s">
        <v>814</v>
      </c>
      <c r="B188" s="14">
        <v>1002965241</v>
      </c>
      <c r="C188" t="s">
        <v>36</v>
      </c>
      <c r="D188" t="s">
        <v>142</v>
      </c>
      <c r="E188" t="s">
        <v>616</v>
      </c>
      <c r="F188" t="s">
        <v>12</v>
      </c>
      <c r="G188" t="s">
        <v>305</v>
      </c>
      <c r="H188" t="s">
        <v>13</v>
      </c>
      <c r="I188" t="str">
        <f t="shared" si="2"/>
        <v>IMPORTACIONES NISUTA S.A.SGNCB</v>
      </c>
      <c r="J188" t="str">
        <f>VLOOKUP(I188,[1]Base!$I:$J,2,0)</f>
        <v>Lina del Mar Florez</v>
      </c>
    </row>
    <row r="189" spans="1:10">
      <c r="A189" t="s">
        <v>814</v>
      </c>
      <c r="B189" s="14">
        <v>1002965241</v>
      </c>
      <c r="C189" t="s">
        <v>36</v>
      </c>
      <c r="D189" t="s">
        <v>142</v>
      </c>
      <c r="E189" t="s">
        <v>616</v>
      </c>
      <c r="F189" t="s">
        <v>6</v>
      </c>
      <c r="G189" t="s">
        <v>305</v>
      </c>
      <c r="H189" t="s">
        <v>20</v>
      </c>
      <c r="I189" t="str">
        <f t="shared" si="2"/>
        <v>IMPORTACIONES NISUTA S.A.SVANTI</v>
      </c>
      <c r="J189" t="str">
        <f>VLOOKUP(I189,[1]Base!$I:$J,2,0)</f>
        <v>Juan Carlos Pinilla</v>
      </c>
    </row>
    <row r="190" spans="1:10">
      <c r="B190" s="14" t="e">
        <v>#N/A</v>
      </c>
      <c r="C190" t="s">
        <v>254</v>
      </c>
      <c r="D190" t="s">
        <v>233</v>
      </c>
      <c r="E190" t="s">
        <v>534</v>
      </c>
      <c r="F190" t="s">
        <v>6</v>
      </c>
      <c r="G190" t="s">
        <v>254</v>
      </c>
      <c r="H190" t="s">
        <v>254</v>
      </c>
      <c r="I190" t="str">
        <f t="shared" si="2"/>
        <v>INDUSTRIAS HACEB S.AVANTI</v>
      </c>
      <c r="J190" t="str">
        <f>VLOOKUP(I190,[1]Base!$I:$J,2,0)</f>
        <v>Seller</v>
      </c>
    </row>
    <row r="191" spans="1:10">
      <c r="B191" s="14" t="e">
        <v>#N/A</v>
      </c>
      <c r="C191" t="s">
        <v>254</v>
      </c>
      <c r="D191" t="s">
        <v>233</v>
      </c>
      <c r="E191" t="s">
        <v>534</v>
      </c>
      <c r="F191" t="s">
        <v>12</v>
      </c>
      <c r="G191" t="s">
        <v>254</v>
      </c>
      <c r="H191" t="s">
        <v>254</v>
      </c>
      <c r="I191" t="str">
        <f t="shared" si="2"/>
        <v>INDUSTRIAS HACEB S.AGNCB</v>
      </c>
      <c r="J191" t="str">
        <f>VLOOKUP(I191,[1]Base!$I:$J,2,0)</f>
        <v>Seller</v>
      </c>
    </row>
    <row r="192" spans="1:10">
      <c r="B192" s="14" t="e">
        <v>#N/A</v>
      </c>
      <c r="C192" t="s">
        <v>254</v>
      </c>
      <c r="D192" t="s">
        <v>233</v>
      </c>
      <c r="E192" t="s">
        <v>534</v>
      </c>
      <c r="F192" t="s">
        <v>17</v>
      </c>
      <c r="G192" t="s">
        <v>254</v>
      </c>
      <c r="H192" t="s">
        <v>254</v>
      </c>
      <c r="I192" t="str">
        <f t="shared" si="2"/>
        <v>INDUSTRIAS HACEB S.AGNC</v>
      </c>
      <c r="J192" t="str">
        <f>VLOOKUP(I192,[1]Base!$I:$J,2,0)</f>
        <v>Seller</v>
      </c>
    </row>
    <row r="193" spans="1:11">
      <c r="A193" t="s">
        <v>815</v>
      </c>
      <c r="B193" s="14">
        <v>1000023483</v>
      </c>
      <c r="C193" t="s">
        <v>8</v>
      </c>
      <c r="D193" t="s">
        <v>68</v>
      </c>
      <c r="E193" t="s">
        <v>426</v>
      </c>
      <c r="F193" t="s">
        <v>12</v>
      </c>
      <c r="G193" t="s">
        <v>20</v>
      </c>
      <c r="H193" t="s">
        <v>13</v>
      </c>
      <c r="I193" t="str">
        <f t="shared" si="2"/>
        <v>INDUSTRIAS SPRING SASGNCB</v>
      </c>
      <c r="J193" t="str">
        <f>VLOOKUP(I193,[1]Base!$I:$J,2,0)</f>
        <v>Lina del Mar Florez</v>
      </c>
    </row>
    <row r="194" spans="1:11">
      <c r="A194" t="s">
        <v>815</v>
      </c>
      <c r="B194" s="14">
        <v>1000023483</v>
      </c>
      <c r="C194" t="s">
        <v>8</v>
      </c>
      <c r="D194" t="s">
        <v>68</v>
      </c>
      <c r="E194" t="s">
        <v>426</v>
      </c>
      <c r="F194" t="s">
        <v>6</v>
      </c>
      <c r="G194" t="s">
        <v>20</v>
      </c>
      <c r="H194" t="s">
        <v>20</v>
      </c>
      <c r="I194" t="str">
        <f t="shared" si="2"/>
        <v>INDUSTRIAS SPRING SASVANTI</v>
      </c>
      <c r="J194" t="str">
        <f>VLOOKUP(I194,[1]Base!$I:$J,2,0)</f>
        <v>Juan Carlos Pinilla</v>
      </c>
    </row>
    <row r="195" spans="1:11">
      <c r="B195" s="14" t="e">
        <v>#N/A</v>
      </c>
      <c r="C195" t="s">
        <v>297</v>
      </c>
      <c r="D195" t="s">
        <v>187</v>
      </c>
      <c r="E195" t="s">
        <v>427</v>
      </c>
      <c r="F195" t="s">
        <v>6</v>
      </c>
      <c r="G195" t="s">
        <v>208</v>
      </c>
      <c r="H195" t="s">
        <v>208</v>
      </c>
      <c r="I195" t="str">
        <f t="shared" ref="I195:I258" si="3">D195&amp;F195</f>
        <v>INDUSTRIAS VIANCO LTDAVANTI</v>
      </c>
      <c r="J195" t="str">
        <f>VLOOKUP(I195,[1]Base!$I:$J,2,0)</f>
        <v>Firma Instaladora</v>
      </c>
    </row>
    <row r="196" spans="1:11">
      <c r="B196" s="14" t="e">
        <v>#N/A</v>
      </c>
      <c r="C196" t="s">
        <v>297</v>
      </c>
      <c r="D196" t="s">
        <v>187</v>
      </c>
      <c r="E196" t="s">
        <v>427</v>
      </c>
      <c r="F196" t="s">
        <v>12</v>
      </c>
      <c r="G196" t="s">
        <v>208</v>
      </c>
      <c r="H196" t="s">
        <v>208</v>
      </c>
      <c r="I196" t="str">
        <f t="shared" si="3"/>
        <v>INDUSTRIAS VIANCO LTDAGNCB</v>
      </c>
      <c r="J196" t="str">
        <f>VLOOKUP(I196,[1]Base!$I:$J,2,0)</f>
        <v>Firma Instaladora</v>
      </c>
    </row>
    <row r="197" spans="1:11">
      <c r="B197" s="14" t="e">
        <v>#N/A</v>
      </c>
      <c r="C197" t="s">
        <v>297</v>
      </c>
      <c r="D197" t="s">
        <v>194</v>
      </c>
      <c r="E197" t="s">
        <v>428</v>
      </c>
      <c r="F197" t="s">
        <v>6</v>
      </c>
      <c r="G197" t="s">
        <v>208</v>
      </c>
      <c r="H197" t="s">
        <v>208</v>
      </c>
      <c r="I197" t="str">
        <f t="shared" si="3"/>
        <v>INGEOSERVICIOS ANDI SASVANTI</v>
      </c>
      <c r="J197" t="str">
        <f>VLOOKUP(I197,[1]Base!$I:$J,2,0)</f>
        <v>Firma Instaladora</v>
      </c>
    </row>
    <row r="198" spans="1:11">
      <c r="A198" t="s">
        <v>816</v>
      </c>
      <c r="B198" s="14">
        <v>1002981539</v>
      </c>
      <c r="C198" t="s">
        <v>5</v>
      </c>
      <c r="D198" t="s">
        <v>109</v>
      </c>
      <c r="E198" t="s">
        <v>617</v>
      </c>
      <c r="F198" t="s">
        <v>17</v>
      </c>
      <c r="G198" t="s">
        <v>15</v>
      </c>
      <c r="H198" t="s">
        <v>290</v>
      </c>
      <c r="I198" t="str">
        <f t="shared" si="3"/>
        <v>Innovation Motos NG S.A.S.GNC</v>
      </c>
      <c r="J198" t="str">
        <f>VLOOKUP(I198,[1]Base!$I:$J,2,0)</f>
        <v>Lina del Mar Florez</v>
      </c>
    </row>
    <row r="199" spans="1:11">
      <c r="A199" t="s">
        <v>816</v>
      </c>
      <c r="B199" s="14">
        <v>1002981539</v>
      </c>
      <c r="C199" t="s">
        <v>5</v>
      </c>
      <c r="D199" t="s">
        <v>109</v>
      </c>
      <c r="E199" t="s">
        <v>617</v>
      </c>
      <c r="F199" t="s">
        <v>6</v>
      </c>
      <c r="G199" t="s">
        <v>15</v>
      </c>
      <c r="H199" t="s">
        <v>15</v>
      </c>
      <c r="I199" t="str">
        <f t="shared" si="3"/>
        <v>Innovation Motos NG S.A.S.VANTI</v>
      </c>
      <c r="J199" t="str">
        <f>VLOOKUP(I199,[1]Base!$I:$J,2,0)</f>
        <v>Juan Carlos Pinilla</v>
      </c>
    </row>
    <row r="200" spans="1:11">
      <c r="A200" t="s">
        <v>816</v>
      </c>
      <c r="B200" s="14">
        <v>1002981539</v>
      </c>
      <c r="C200" t="s">
        <v>5</v>
      </c>
      <c r="D200" t="s">
        <v>109</v>
      </c>
      <c r="E200" t="s">
        <v>617</v>
      </c>
      <c r="F200" t="s">
        <v>12</v>
      </c>
      <c r="G200" t="s">
        <v>15</v>
      </c>
      <c r="H200" t="s">
        <v>16</v>
      </c>
      <c r="I200" t="str">
        <f t="shared" si="3"/>
        <v>Innovation Motos NG S.A.S.GNCB</v>
      </c>
      <c r="J200" t="str">
        <f>VLOOKUP(I200,[1]Base!$I:$J,2,0)</f>
        <v>Lina del Mar Florez</v>
      </c>
    </row>
    <row r="201" spans="1:11">
      <c r="B201" s="14" t="e">
        <v>#N/A</v>
      </c>
      <c r="C201" t="s">
        <v>297</v>
      </c>
      <c r="D201" t="s">
        <v>196</v>
      </c>
      <c r="E201" t="s">
        <v>429</v>
      </c>
      <c r="F201" t="s">
        <v>6</v>
      </c>
      <c r="G201" t="s">
        <v>208</v>
      </c>
      <c r="H201" t="s">
        <v>208</v>
      </c>
      <c r="I201" t="str">
        <f t="shared" si="3"/>
        <v>INSTARGAS N L V S A SVANTI</v>
      </c>
      <c r="J201" t="str">
        <f>VLOOKUP(I201,[1]Base!$I:$J,2,0)</f>
        <v>Firma Instaladora</v>
      </c>
    </row>
    <row r="202" spans="1:11">
      <c r="B202" s="14" t="e">
        <v>#N/A</v>
      </c>
      <c r="C202" t="s">
        <v>297</v>
      </c>
      <c r="D202" t="s">
        <v>196</v>
      </c>
      <c r="E202" t="s">
        <v>429</v>
      </c>
      <c r="F202" t="s">
        <v>12</v>
      </c>
      <c r="G202" t="s">
        <v>208</v>
      </c>
      <c r="H202" t="s">
        <v>208</v>
      </c>
      <c r="I202" t="str">
        <f t="shared" si="3"/>
        <v>INSTARGAS N L V S A SGNCB</v>
      </c>
      <c r="J202" t="str">
        <f>VLOOKUP(I202,[1]Base!$I:$J,2,0)</f>
        <v>Firma Instaladora</v>
      </c>
    </row>
    <row r="203" spans="1:11">
      <c r="A203" t="s">
        <v>817</v>
      </c>
      <c r="B203" s="14" t="s">
        <v>946</v>
      </c>
      <c r="C203" t="s">
        <v>8</v>
      </c>
      <c r="D203" t="s">
        <v>125</v>
      </c>
      <c r="E203" t="s">
        <v>618</v>
      </c>
      <c r="F203" t="s">
        <v>6</v>
      </c>
      <c r="G203" t="s">
        <v>305</v>
      </c>
      <c r="H203" t="s">
        <v>20</v>
      </c>
      <c r="I203" t="str">
        <f t="shared" si="3"/>
        <v>INVERSIONES ARENAS SERRANO S.A.S.VANTI</v>
      </c>
      <c r="J203" t="str">
        <f>VLOOKUP(I203,[1]Base!$I:$J,2,0)</f>
        <v>Juan Carlos Pinilla</v>
      </c>
    </row>
    <row r="204" spans="1:11">
      <c r="A204" t="s">
        <v>818</v>
      </c>
      <c r="B204" s="14">
        <v>1003020781</v>
      </c>
      <c r="C204" t="s">
        <v>5</v>
      </c>
      <c r="D204" t="s">
        <v>146</v>
      </c>
      <c r="E204" t="s">
        <v>619</v>
      </c>
      <c r="F204" t="s">
        <v>6</v>
      </c>
      <c r="G204" t="s">
        <v>22</v>
      </c>
      <c r="H204" t="s">
        <v>22</v>
      </c>
      <c r="I204" t="str">
        <f t="shared" si="3"/>
        <v>Inversiones Bejarano del Valle S.A.S.VANTI</v>
      </c>
      <c r="J204" t="str">
        <f>VLOOKUP(I204,[1]Base!$I:$J,2,0)</f>
        <v>Juan Carlos Pinilla</v>
      </c>
    </row>
    <row r="205" spans="1:11">
      <c r="A205" t="s">
        <v>818</v>
      </c>
      <c r="B205" s="14">
        <v>1003020781</v>
      </c>
      <c r="C205" t="s">
        <v>5</v>
      </c>
      <c r="D205" t="s">
        <v>146</v>
      </c>
      <c r="E205" t="s">
        <v>619</v>
      </c>
      <c r="F205" t="s">
        <v>12</v>
      </c>
      <c r="G205" t="s">
        <v>22</v>
      </c>
      <c r="H205" t="s">
        <v>16</v>
      </c>
      <c r="I205" t="str">
        <f t="shared" si="3"/>
        <v>Inversiones Bejarano del Valle S.A.S.GNCB</v>
      </c>
      <c r="J205" t="str">
        <f>VLOOKUP(I205,[1]Base!$I:$J,2,0)</f>
        <v>Lina del Mar Florez</v>
      </c>
    </row>
    <row r="206" spans="1:11">
      <c r="A206" s="13" t="s">
        <v>695</v>
      </c>
      <c r="B206" s="14">
        <v>1003102561</v>
      </c>
      <c r="C206" t="s">
        <v>8</v>
      </c>
      <c r="D206" t="s">
        <v>342</v>
      </c>
      <c r="E206" t="s">
        <v>430</v>
      </c>
      <c r="F206" t="s">
        <v>6</v>
      </c>
      <c r="G206" t="s">
        <v>20</v>
      </c>
      <c r="H206" t="s">
        <v>20</v>
      </c>
      <c r="I206" t="str">
        <f t="shared" si="3"/>
        <v>INVERSIONES CAMILO ROJAS SASVANTI</v>
      </c>
      <c r="J206" t="str">
        <f>VLOOKUP(I206,[1]Base!$I:$J,2,0)</f>
        <v>Juan Carlos Pinilla</v>
      </c>
      <c r="K206" t="s">
        <v>694</v>
      </c>
    </row>
    <row r="207" spans="1:11">
      <c r="A207" s="13" t="s">
        <v>370</v>
      </c>
      <c r="B207" s="14">
        <v>1002963214</v>
      </c>
      <c r="C207" t="s">
        <v>5</v>
      </c>
      <c r="D207" t="s">
        <v>343</v>
      </c>
      <c r="E207" t="s">
        <v>371</v>
      </c>
      <c r="F207" t="s">
        <v>12</v>
      </c>
      <c r="G207" t="s">
        <v>20</v>
      </c>
      <c r="H207" t="s">
        <v>16</v>
      </c>
      <c r="I207" t="str">
        <f t="shared" si="3"/>
        <v>MAS MOTOS MAS REPUESTOSGNCB</v>
      </c>
      <c r="J207" t="str">
        <f>VLOOKUP(I207,[1]Base!$I:$J,2,0)</f>
        <v>Lina del Mar Florez</v>
      </c>
      <c r="K207" t="s">
        <v>696</v>
      </c>
    </row>
    <row r="208" spans="1:11">
      <c r="A208" s="13" t="s">
        <v>698</v>
      </c>
      <c r="B208" s="14">
        <v>1003046132</v>
      </c>
      <c r="C208" t="s">
        <v>5</v>
      </c>
      <c r="D208" t="s">
        <v>229</v>
      </c>
      <c r="E208" t="s">
        <v>431</v>
      </c>
      <c r="F208" t="s">
        <v>6</v>
      </c>
      <c r="G208" t="s">
        <v>16</v>
      </c>
      <c r="H208" t="s">
        <v>15</v>
      </c>
      <c r="I208" t="str">
        <f t="shared" si="3"/>
        <v>INVERSIONES GUTIERREZ HERNANDEZVANTI</v>
      </c>
      <c r="J208" t="str">
        <f>VLOOKUP(I208,[1]Base!$I:$J,2,0)</f>
        <v>Juan Carlos Pinilla</v>
      </c>
      <c r="K208" t="s">
        <v>697</v>
      </c>
    </row>
    <row r="209" spans="1:10">
      <c r="A209" t="s">
        <v>819</v>
      </c>
      <c r="B209" s="14">
        <v>1002919194</v>
      </c>
      <c r="C209" t="s">
        <v>8</v>
      </c>
      <c r="D209" t="s">
        <v>69</v>
      </c>
      <c r="E209" t="s">
        <v>432</v>
      </c>
      <c r="F209" t="s">
        <v>12</v>
      </c>
      <c r="G209" t="s">
        <v>20</v>
      </c>
      <c r="H209" t="s">
        <v>13</v>
      </c>
      <c r="I209" t="str">
        <f t="shared" si="3"/>
        <v>INVERSIONES HDPO SASGNCB</v>
      </c>
      <c r="J209" t="str">
        <f>VLOOKUP(I209,[1]Base!$I:$J,2,0)</f>
        <v>Lina del Mar Florez</v>
      </c>
    </row>
    <row r="210" spans="1:10">
      <c r="A210" t="s">
        <v>819</v>
      </c>
      <c r="B210" s="14">
        <v>1002919194</v>
      </c>
      <c r="C210" t="s">
        <v>8</v>
      </c>
      <c r="D210" t="s">
        <v>69</v>
      </c>
      <c r="E210" t="s">
        <v>432</v>
      </c>
      <c r="F210" t="s">
        <v>6</v>
      </c>
      <c r="G210" t="s">
        <v>20</v>
      </c>
      <c r="H210" t="s">
        <v>20</v>
      </c>
      <c r="I210" t="str">
        <f t="shared" si="3"/>
        <v>INVERSIONES HDPO SASVANTI</v>
      </c>
      <c r="J210" t="str">
        <f>VLOOKUP(I210,[1]Base!$I:$J,2,0)</f>
        <v>Juan Carlos Pinilla</v>
      </c>
    </row>
    <row r="211" spans="1:10">
      <c r="A211" t="s">
        <v>820</v>
      </c>
      <c r="B211" s="14">
        <v>1003105300</v>
      </c>
      <c r="C211" t="s">
        <v>8</v>
      </c>
      <c r="D211" t="s">
        <v>282</v>
      </c>
      <c r="E211" t="s">
        <v>433</v>
      </c>
      <c r="F211" t="s">
        <v>12</v>
      </c>
      <c r="G211" t="s">
        <v>20</v>
      </c>
      <c r="H211" t="s">
        <v>16</v>
      </c>
      <c r="I211" t="str">
        <f t="shared" si="3"/>
        <v>INVERSIONES INNOVAR DE COLOMBIA SAGNCB</v>
      </c>
      <c r="J211" t="str">
        <f>VLOOKUP(I211,[1]Base!$I:$J,2,0)</f>
        <v>Lina del Mar Florez</v>
      </c>
    </row>
    <row r="212" spans="1:10">
      <c r="A212" t="s">
        <v>821</v>
      </c>
      <c r="B212" s="14">
        <v>1002964643</v>
      </c>
      <c r="C212" t="s">
        <v>8</v>
      </c>
      <c r="D212" t="s">
        <v>139</v>
      </c>
      <c r="E212" t="s">
        <v>434</v>
      </c>
      <c r="F212" t="s">
        <v>6</v>
      </c>
      <c r="G212" t="s">
        <v>15</v>
      </c>
      <c r="H212" t="s">
        <v>15</v>
      </c>
      <c r="I212" t="str">
        <f t="shared" si="3"/>
        <v>INVERSIONES LOGUZ SAS VANTI</v>
      </c>
      <c r="J212" t="str">
        <f>VLOOKUP(I212,[1]Base!$I:$J,2,0)</f>
        <v>Juan Carlos Pinilla</v>
      </c>
    </row>
    <row r="213" spans="1:10">
      <c r="A213" t="s">
        <v>821</v>
      </c>
      <c r="B213" s="14">
        <v>1002964643</v>
      </c>
      <c r="C213" t="s">
        <v>8</v>
      </c>
      <c r="D213" t="s">
        <v>139</v>
      </c>
      <c r="E213" t="s">
        <v>434</v>
      </c>
      <c r="F213" t="s">
        <v>12</v>
      </c>
      <c r="G213" t="s">
        <v>15</v>
      </c>
      <c r="H213" t="s">
        <v>16</v>
      </c>
      <c r="I213" t="str">
        <f t="shared" si="3"/>
        <v>INVERSIONES LOGUZ SAS GNCB</v>
      </c>
      <c r="J213" t="str">
        <f>VLOOKUP(I213,[1]Base!$I:$J,2,0)</f>
        <v>Lina del Mar Florez</v>
      </c>
    </row>
    <row r="214" spans="1:10">
      <c r="A214" t="s">
        <v>822</v>
      </c>
      <c r="B214" s="14">
        <v>100028344</v>
      </c>
      <c r="C214" t="s">
        <v>5</v>
      </c>
      <c r="D214" t="s">
        <v>249</v>
      </c>
      <c r="E214" t="s">
        <v>620</v>
      </c>
      <c r="F214" t="s">
        <v>6</v>
      </c>
      <c r="G214" t="s">
        <v>16</v>
      </c>
      <c r="H214" t="s">
        <v>22</v>
      </c>
      <c r="I214" t="str">
        <f t="shared" si="3"/>
        <v>INVERSIONES MOTOFUTURO S.A.SVANTI</v>
      </c>
      <c r="J214" t="str">
        <f>VLOOKUP(I214,[1]Base!$I:$J,2,0)</f>
        <v>Juan Carlos Pinilla</v>
      </c>
    </row>
    <row r="215" spans="1:10">
      <c r="A215" t="s">
        <v>822</v>
      </c>
      <c r="B215" s="14">
        <v>100028344</v>
      </c>
      <c r="C215" t="s">
        <v>5</v>
      </c>
      <c r="D215" t="s">
        <v>249</v>
      </c>
      <c r="E215" t="s">
        <v>620</v>
      </c>
      <c r="F215" t="s">
        <v>12</v>
      </c>
      <c r="G215" t="s">
        <v>16</v>
      </c>
      <c r="H215" t="s">
        <v>16</v>
      </c>
      <c r="I215" t="str">
        <f t="shared" si="3"/>
        <v>INVERSIONES MOTOFUTURO S.A.SGNCB</v>
      </c>
      <c r="J215" t="str">
        <f>VLOOKUP(I215,[1]Base!$I:$J,2,0)</f>
        <v>Lina del Mar Florez</v>
      </c>
    </row>
    <row r="216" spans="1:10">
      <c r="A216" t="s">
        <v>823</v>
      </c>
      <c r="B216" s="14">
        <v>1003224198</v>
      </c>
      <c r="C216" t="s">
        <v>8</v>
      </c>
      <c r="D216" t="s">
        <v>334</v>
      </c>
      <c r="E216" t="s">
        <v>621</v>
      </c>
      <c r="F216" t="s">
        <v>17</v>
      </c>
      <c r="G216" t="s">
        <v>305</v>
      </c>
      <c r="H216" t="s">
        <v>290</v>
      </c>
      <c r="I216" t="str">
        <f t="shared" si="3"/>
        <v>INVERSIONES VARGAS &amp; GAFARO S.A.SGNC</v>
      </c>
      <c r="J216" t="str">
        <f>VLOOKUP(I216,[1]Base!$I:$J,2,0)</f>
        <v>Lina del Mar Florez</v>
      </c>
    </row>
    <row r="217" spans="1:10">
      <c r="A217" t="s">
        <v>824</v>
      </c>
      <c r="B217" s="14">
        <v>1002971020</v>
      </c>
      <c r="C217" t="s">
        <v>8</v>
      </c>
      <c r="D217" t="s">
        <v>70</v>
      </c>
      <c r="E217" t="s">
        <v>435</v>
      </c>
      <c r="F217" t="s">
        <v>6</v>
      </c>
      <c r="G217" t="s">
        <v>16</v>
      </c>
      <c r="H217" t="s">
        <v>20</v>
      </c>
      <c r="I217" t="str">
        <f t="shared" si="3"/>
        <v>INVERSIONES VILLARAIRAN SASVANTI</v>
      </c>
      <c r="J217" t="str">
        <f>VLOOKUP(I217,[1]Base!$I:$J,2,0)</f>
        <v>Juan Carlos Pinilla</v>
      </c>
    </row>
    <row r="218" spans="1:10">
      <c r="A218" t="s">
        <v>825</v>
      </c>
      <c r="B218" s="14">
        <v>1002839787</v>
      </c>
      <c r="C218" t="s">
        <v>8</v>
      </c>
      <c r="D218" t="s">
        <v>71</v>
      </c>
      <c r="E218" t="s">
        <v>436</v>
      </c>
      <c r="F218" t="s">
        <v>12</v>
      </c>
      <c r="G218" t="s">
        <v>336</v>
      </c>
      <c r="H218" t="s">
        <v>16</v>
      </c>
      <c r="I218" t="str">
        <f t="shared" si="3"/>
        <v>INVESAKK SASGNCB</v>
      </c>
      <c r="J218" t="str">
        <f>VLOOKUP(I218,[1]Base!$I:$J,2,0)</f>
        <v>Lina del Mar Florez</v>
      </c>
    </row>
    <row r="219" spans="1:10">
      <c r="A219" t="s">
        <v>825</v>
      </c>
      <c r="B219" s="14">
        <v>1002839787</v>
      </c>
      <c r="C219" t="s">
        <v>8</v>
      </c>
      <c r="D219" t="s">
        <v>71</v>
      </c>
      <c r="E219" t="s">
        <v>436</v>
      </c>
      <c r="F219" t="s">
        <v>6</v>
      </c>
      <c r="G219" t="s">
        <v>336</v>
      </c>
      <c r="H219" t="s">
        <v>336</v>
      </c>
      <c r="I219" t="str">
        <f t="shared" si="3"/>
        <v>INVESAKK SASVANTI</v>
      </c>
      <c r="J219" t="str">
        <f>VLOOKUP(I219,[1]Base!$I:$J,2,0)</f>
        <v>Juan Carlos Pinilla</v>
      </c>
    </row>
    <row r="220" spans="1:10">
      <c r="A220" t="s">
        <v>825</v>
      </c>
      <c r="B220" s="14">
        <v>1002839787</v>
      </c>
      <c r="C220" t="s">
        <v>8</v>
      </c>
      <c r="D220" t="s">
        <v>71</v>
      </c>
      <c r="E220" t="s">
        <v>436</v>
      </c>
      <c r="F220" t="s">
        <v>17</v>
      </c>
      <c r="G220" t="s">
        <v>336</v>
      </c>
      <c r="H220" t="s">
        <v>290</v>
      </c>
      <c r="I220" t="str">
        <f t="shared" si="3"/>
        <v>INVESAKK SASGNC</v>
      </c>
      <c r="J220" t="str">
        <f>VLOOKUP(I220,[1]Base!$I:$J,2,0)</f>
        <v>Lina del Mar Florez</v>
      </c>
    </row>
    <row r="221" spans="1:10">
      <c r="A221" t="s">
        <v>826</v>
      </c>
      <c r="B221" s="14">
        <v>1003035764</v>
      </c>
      <c r="C221" t="s">
        <v>5</v>
      </c>
      <c r="D221" t="s">
        <v>215</v>
      </c>
      <c r="E221" t="s">
        <v>622</v>
      </c>
      <c r="F221" t="s">
        <v>6</v>
      </c>
      <c r="G221" t="s">
        <v>15</v>
      </c>
      <c r="H221" t="s">
        <v>15</v>
      </c>
      <c r="I221" t="str">
        <f t="shared" si="3"/>
        <v>Ionic Motors S.A.S.VANTI</v>
      </c>
      <c r="J221" t="str">
        <f>VLOOKUP(I221,[1]Base!$I:$J,2,0)</f>
        <v>Juan Carlos Pinilla</v>
      </c>
    </row>
    <row r="222" spans="1:10">
      <c r="A222" t="s">
        <v>827</v>
      </c>
      <c r="B222" s="14">
        <v>1002919234</v>
      </c>
      <c r="C222" t="s">
        <v>8</v>
      </c>
      <c r="D222" t="s">
        <v>72</v>
      </c>
      <c r="E222" t="s">
        <v>623</v>
      </c>
      <c r="F222" t="s">
        <v>12</v>
      </c>
      <c r="G222" t="s">
        <v>13</v>
      </c>
      <c r="H222" t="s">
        <v>13</v>
      </c>
      <c r="I222" t="str">
        <f t="shared" si="3"/>
        <v>Ivan Botero Gomez S.A.GNCB</v>
      </c>
      <c r="J222" t="str">
        <f>VLOOKUP(I222,[1]Base!$I:$J,2,0)</f>
        <v>Lina del Mar Florez</v>
      </c>
    </row>
    <row r="223" spans="1:10">
      <c r="A223" t="s">
        <v>827</v>
      </c>
      <c r="B223" s="14">
        <v>1002919234</v>
      </c>
      <c r="C223" t="s">
        <v>8</v>
      </c>
      <c r="D223" t="s">
        <v>72</v>
      </c>
      <c r="E223" t="s">
        <v>623</v>
      </c>
      <c r="F223" t="s">
        <v>17</v>
      </c>
      <c r="G223" t="s">
        <v>13</v>
      </c>
      <c r="H223" t="s">
        <v>290</v>
      </c>
      <c r="I223" t="str">
        <f t="shared" si="3"/>
        <v>Ivan Botero Gomez S.A.GNC</v>
      </c>
      <c r="J223" t="str">
        <f>VLOOKUP(I223,[1]Base!$I:$J,2,0)</f>
        <v>Lina del Mar Florez</v>
      </c>
    </row>
    <row r="224" spans="1:10">
      <c r="A224" t="s">
        <v>827</v>
      </c>
      <c r="B224" s="14">
        <v>1002919234</v>
      </c>
      <c r="C224" t="s">
        <v>8</v>
      </c>
      <c r="D224" t="s">
        <v>72</v>
      </c>
      <c r="E224" t="s">
        <v>623</v>
      </c>
      <c r="F224" t="s">
        <v>6</v>
      </c>
      <c r="G224" t="s">
        <v>13</v>
      </c>
      <c r="H224" t="s">
        <v>20</v>
      </c>
      <c r="I224" t="str">
        <f t="shared" si="3"/>
        <v>Ivan Botero Gomez S.A.VANTI</v>
      </c>
      <c r="J224" t="str">
        <f>VLOOKUP(I224,[1]Base!$I:$J,2,0)</f>
        <v>Juan Carlos Pinilla</v>
      </c>
    </row>
    <row r="225" spans="1:10">
      <c r="A225" t="s">
        <v>828</v>
      </c>
      <c r="B225" s="14">
        <v>1002917247</v>
      </c>
      <c r="C225" t="s">
        <v>8</v>
      </c>
      <c r="D225" t="s">
        <v>73</v>
      </c>
      <c r="E225" t="s">
        <v>437</v>
      </c>
      <c r="F225" t="s">
        <v>6</v>
      </c>
      <c r="G225" t="s">
        <v>16</v>
      </c>
      <c r="H225" t="s">
        <v>20</v>
      </c>
      <c r="I225" t="str">
        <f t="shared" si="3"/>
        <v>JHONATHAN FABIAN CASTRO OLMOSVANTI</v>
      </c>
      <c r="J225" t="str">
        <f>VLOOKUP(I225,[1]Base!$I:$J,2,0)</f>
        <v>Juan Carlos Pinilla</v>
      </c>
    </row>
    <row r="226" spans="1:10">
      <c r="A226" t="s">
        <v>829</v>
      </c>
      <c r="B226" s="14">
        <v>1000136424</v>
      </c>
      <c r="C226" t="s">
        <v>5</v>
      </c>
      <c r="D226" t="s">
        <v>221</v>
      </c>
      <c r="E226" t="s">
        <v>438</v>
      </c>
      <c r="F226" t="s">
        <v>12</v>
      </c>
      <c r="G226" t="s">
        <v>13</v>
      </c>
      <c r="H226" t="s">
        <v>13</v>
      </c>
      <c r="I226" t="str">
        <f t="shared" si="3"/>
        <v>JORGE ARMANDO MATEUS MATEUSGNCB</v>
      </c>
      <c r="J226" t="str">
        <f>VLOOKUP(I226,[1]Base!$I:$J,2,0)</f>
        <v>Lina del Mar Florez</v>
      </c>
    </row>
    <row r="227" spans="1:10">
      <c r="B227" s="14" t="e">
        <v>#N/A</v>
      </c>
      <c r="C227" t="s">
        <v>297</v>
      </c>
      <c r="D227" t="s">
        <v>193</v>
      </c>
      <c r="E227" t="s">
        <v>439</v>
      </c>
      <c r="F227" t="s">
        <v>6</v>
      </c>
      <c r="G227" t="s">
        <v>208</v>
      </c>
      <c r="H227" t="s">
        <v>208</v>
      </c>
      <c r="I227" t="str">
        <f t="shared" si="3"/>
        <v>JULIGAS INGENIERIA SASVANTI</v>
      </c>
      <c r="J227" t="str">
        <f>VLOOKUP(I227,[1]Base!$I:$J,2,0)</f>
        <v>Firma Instaladora</v>
      </c>
    </row>
    <row r="228" spans="1:10">
      <c r="A228" t="s">
        <v>830</v>
      </c>
      <c r="B228" s="14">
        <v>1003105301</v>
      </c>
      <c r="C228" t="s">
        <v>8</v>
      </c>
      <c r="D228" t="s">
        <v>268</v>
      </c>
      <c r="E228" t="s">
        <v>440</v>
      </c>
      <c r="F228" t="s">
        <v>6</v>
      </c>
      <c r="G228" t="s">
        <v>336</v>
      </c>
      <c r="H228" t="s">
        <v>336</v>
      </c>
      <c r="I228" t="str">
        <f t="shared" si="3"/>
        <v>LIDA FERNANDA CORTES TOROVANTI</v>
      </c>
      <c r="J228" t="str">
        <f>VLOOKUP(I228,[1]Base!$I:$J,2,0)</f>
        <v>Juan Carlos Pinilla</v>
      </c>
    </row>
    <row r="229" spans="1:10">
      <c r="B229" s="14" t="e">
        <v>#N/A</v>
      </c>
      <c r="C229" t="s">
        <v>297</v>
      </c>
      <c r="D229" t="s">
        <v>201</v>
      </c>
      <c r="E229" t="s">
        <v>441</v>
      </c>
      <c r="F229" t="s">
        <v>12</v>
      </c>
      <c r="G229" t="s">
        <v>208</v>
      </c>
      <c r="H229" t="s">
        <v>208</v>
      </c>
      <c r="I229" t="str">
        <f t="shared" si="3"/>
        <v>LLAMA GAS DE LA SABANA SASGNCB</v>
      </c>
      <c r="J229" t="str">
        <f>VLOOKUP(I229,[1]Base!$I:$J,2,0)</f>
        <v>Firma Instaladora</v>
      </c>
    </row>
    <row r="230" spans="1:10">
      <c r="B230" s="14" t="e">
        <v>#N/A</v>
      </c>
      <c r="C230" t="s">
        <v>297</v>
      </c>
      <c r="D230" t="s">
        <v>201</v>
      </c>
      <c r="E230" t="s">
        <v>441</v>
      </c>
      <c r="F230" t="s">
        <v>6</v>
      </c>
      <c r="G230" t="s">
        <v>208</v>
      </c>
      <c r="H230" t="s">
        <v>208</v>
      </c>
      <c r="I230" t="str">
        <f t="shared" si="3"/>
        <v>LLAMA GAS DE LA SABANA SASVANTI</v>
      </c>
      <c r="J230" t="str">
        <f>VLOOKUP(I230,[1]Base!$I:$J,2,0)</f>
        <v>Firma Instaladora</v>
      </c>
    </row>
    <row r="231" spans="1:10">
      <c r="A231" t="s">
        <v>831</v>
      </c>
      <c r="B231" s="14">
        <v>1002985788</v>
      </c>
      <c r="C231" t="s">
        <v>5</v>
      </c>
      <c r="D231" t="s">
        <v>116</v>
      </c>
      <c r="E231" t="s">
        <v>624</v>
      </c>
      <c r="F231" t="s">
        <v>12</v>
      </c>
      <c r="G231" t="s">
        <v>15</v>
      </c>
      <c r="H231" t="s">
        <v>16</v>
      </c>
      <c r="I231" t="str">
        <f t="shared" si="3"/>
        <v>Lobi Car S.A.S.GNCB</v>
      </c>
      <c r="J231" t="str">
        <f>VLOOKUP(I231,[1]Base!$I:$J,2,0)</f>
        <v>Lina del Mar Florez</v>
      </c>
    </row>
    <row r="232" spans="1:10">
      <c r="A232" t="s">
        <v>832</v>
      </c>
      <c r="B232" s="14">
        <v>1001134970</v>
      </c>
      <c r="C232" t="s">
        <v>8</v>
      </c>
      <c r="D232" t="s">
        <v>179</v>
      </c>
      <c r="E232" t="s">
        <v>442</v>
      </c>
      <c r="F232" t="s">
        <v>17</v>
      </c>
      <c r="G232" t="s">
        <v>290</v>
      </c>
      <c r="H232" t="s">
        <v>290</v>
      </c>
      <c r="I232" t="str">
        <f t="shared" si="3"/>
        <v>LUCCY MARINA RODRIGUEZ GARCIAGNC</v>
      </c>
      <c r="J232" t="str">
        <f>VLOOKUP(I232,[1]Base!$I:$J,2,0)</f>
        <v>Lina del Mar Florez</v>
      </c>
    </row>
    <row r="233" spans="1:10">
      <c r="A233" t="s">
        <v>833</v>
      </c>
      <c r="B233" s="14">
        <v>1002958567</v>
      </c>
      <c r="C233" t="s">
        <v>8</v>
      </c>
      <c r="D233" t="s">
        <v>74</v>
      </c>
      <c r="E233" t="s">
        <v>443</v>
      </c>
      <c r="F233" t="s">
        <v>6</v>
      </c>
      <c r="G233" t="s">
        <v>290</v>
      </c>
      <c r="H233" t="s">
        <v>20</v>
      </c>
      <c r="I233" t="str">
        <f t="shared" si="3"/>
        <v>LUIS NAPOLEON CALDERON MENDOZAVANTI</v>
      </c>
      <c r="J233" t="str">
        <f>VLOOKUP(I233,[1]Base!$I:$J,2,0)</f>
        <v>Juan Carlos Pinilla</v>
      </c>
    </row>
    <row r="234" spans="1:10">
      <c r="A234" t="s">
        <v>834</v>
      </c>
      <c r="B234" s="14">
        <v>1000008688</v>
      </c>
      <c r="C234" t="s">
        <v>36</v>
      </c>
      <c r="D234" t="s">
        <v>75</v>
      </c>
      <c r="E234" t="s">
        <v>444</v>
      </c>
      <c r="F234" t="s">
        <v>17</v>
      </c>
      <c r="G234" t="s">
        <v>13</v>
      </c>
      <c r="H234" t="s">
        <v>290</v>
      </c>
      <c r="I234" t="str">
        <f t="shared" si="3"/>
        <v>M&amp;F SUPER GAS SASGNC</v>
      </c>
      <c r="J234" t="str">
        <f>VLOOKUP(I234,[1]Base!$I:$J,2,0)</f>
        <v>Lina del Mar Florez</v>
      </c>
    </row>
    <row r="235" spans="1:10">
      <c r="A235" t="s">
        <v>711</v>
      </c>
      <c r="B235" s="14">
        <v>1002994773</v>
      </c>
      <c r="C235" t="s">
        <v>5</v>
      </c>
      <c r="D235" t="s">
        <v>150</v>
      </c>
      <c r="E235" t="s">
        <v>625</v>
      </c>
      <c r="F235" t="s">
        <v>12</v>
      </c>
      <c r="G235" t="s">
        <v>336</v>
      </c>
      <c r="H235" t="s">
        <v>16</v>
      </c>
      <c r="I235" t="str">
        <f t="shared" si="3"/>
        <v>Macro Motos Golden S.A.S.GNCB</v>
      </c>
      <c r="J235" t="str">
        <f>VLOOKUP(I235,[1]Base!$I:$J,2,0)</f>
        <v>Lina del Mar Florez</v>
      </c>
    </row>
    <row r="236" spans="1:10">
      <c r="A236" t="s">
        <v>835</v>
      </c>
      <c r="B236" s="14">
        <v>1003022669</v>
      </c>
      <c r="C236" t="s">
        <v>5</v>
      </c>
      <c r="D236" t="s">
        <v>167</v>
      </c>
      <c r="E236" t="s">
        <v>445</v>
      </c>
      <c r="F236" t="s">
        <v>6</v>
      </c>
      <c r="G236" t="s">
        <v>15</v>
      </c>
      <c r="H236" t="s">
        <v>15</v>
      </c>
      <c r="I236" t="str">
        <f t="shared" si="3"/>
        <v>Maria Fernanda Lopez RamirezVANTI</v>
      </c>
      <c r="J236" t="str">
        <f>VLOOKUP(I236,[1]Base!$I:$J,2,0)</f>
        <v>Juan Carlos Pinilla</v>
      </c>
    </row>
    <row r="237" spans="1:10">
      <c r="A237" t="s">
        <v>835</v>
      </c>
      <c r="B237" s="14">
        <v>1003022669</v>
      </c>
      <c r="C237" t="s">
        <v>5</v>
      </c>
      <c r="D237" t="s">
        <v>167</v>
      </c>
      <c r="E237" t="s">
        <v>445</v>
      </c>
      <c r="F237" t="s">
        <v>12</v>
      </c>
      <c r="G237" t="s">
        <v>15</v>
      </c>
      <c r="H237" t="s">
        <v>16</v>
      </c>
      <c r="I237" t="str">
        <f t="shared" si="3"/>
        <v>Maria Fernanda Lopez RamirezGNCB</v>
      </c>
      <c r="J237" t="str">
        <f>VLOOKUP(I237,[1]Base!$I:$J,2,0)</f>
        <v>Lina del Mar Florez</v>
      </c>
    </row>
    <row r="238" spans="1:10">
      <c r="A238" t="s">
        <v>836</v>
      </c>
      <c r="B238" s="14">
        <v>1002953133</v>
      </c>
      <c r="C238" t="s">
        <v>5</v>
      </c>
      <c r="D238" t="s">
        <v>76</v>
      </c>
      <c r="E238" t="s">
        <v>446</v>
      </c>
      <c r="F238" t="s">
        <v>6</v>
      </c>
      <c r="G238" t="s">
        <v>13</v>
      </c>
      <c r="H238" t="s">
        <v>22</v>
      </c>
      <c r="I238" t="str">
        <f t="shared" si="3"/>
        <v>MAS QUE MOTOS SASVANTI</v>
      </c>
      <c r="J238" t="str">
        <f>VLOOKUP(I238,[1]Base!$I:$J,2,0)</f>
        <v>Juan Carlos Pinilla</v>
      </c>
    </row>
    <row r="239" spans="1:10">
      <c r="A239" t="s">
        <v>837</v>
      </c>
      <c r="B239" s="14">
        <v>1002950299</v>
      </c>
      <c r="C239" t="s">
        <v>5</v>
      </c>
      <c r="D239" t="s">
        <v>108</v>
      </c>
      <c r="E239" t="s">
        <v>626</v>
      </c>
      <c r="F239" t="s">
        <v>12</v>
      </c>
      <c r="G239" t="s">
        <v>22</v>
      </c>
      <c r="H239" t="s">
        <v>16</v>
      </c>
      <c r="I239" t="str">
        <f t="shared" si="3"/>
        <v>Masda S.A.S.GNCB</v>
      </c>
      <c r="J239" t="str">
        <f>VLOOKUP(I239,[1]Base!$I:$J,2,0)</f>
        <v>Lina del Mar Florez</v>
      </c>
    </row>
    <row r="240" spans="1:10">
      <c r="A240" t="s">
        <v>837</v>
      </c>
      <c r="B240" s="14">
        <v>1002950299</v>
      </c>
      <c r="C240" t="s">
        <v>5</v>
      </c>
      <c r="D240" t="s">
        <v>108</v>
      </c>
      <c r="E240" t="s">
        <v>626</v>
      </c>
      <c r="F240" t="s">
        <v>17</v>
      </c>
      <c r="G240" t="s">
        <v>22</v>
      </c>
      <c r="H240" t="s">
        <v>290</v>
      </c>
      <c r="I240" t="str">
        <f t="shared" si="3"/>
        <v>Masda S.A.S.GNC</v>
      </c>
      <c r="J240" t="str">
        <f>VLOOKUP(I240,[1]Base!$I:$J,2,0)</f>
        <v>Lina del Mar Florez</v>
      </c>
    </row>
    <row r="241" spans="1:10">
      <c r="A241" t="s">
        <v>838</v>
      </c>
      <c r="B241" s="14">
        <v>1002980640</v>
      </c>
      <c r="C241" t="s">
        <v>8</v>
      </c>
      <c r="D241" t="s">
        <v>117</v>
      </c>
      <c r="E241" t="s">
        <v>447</v>
      </c>
      <c r="F241" t="s">
        <v>6</v>
      </c>
      <c r="G241" t="s">
        <v>305</v>
      </c>
      <c r="H241" t="s">
        <v>305</v>
      </c>
      <c r="I241" t="str">
        <f t="shared" si="3"/>
        <v>MASERVINOX SAS MANTENIMIENTO SERVICIOS INOXIDABLEVANTI</v>
      </c>
      <c r="J241" t="str">
        <f>VLOOKUP(I241,[1]Base!$I:$J,2,0)</f>
        <v>Lina del Mar Florez</v>
      </c>
    </row>
    <row r="242" spans="1:10">
      <c r="A242" t="s">
        <v>839</v>
      </c>
      <c r="B242" s="14">
        <v>1002976414</v>
      </c>
      <c r="C242" t="s">
        <v>5</v>
      </c>
      <c r="D242" t="s">
        <v>118</v>
      </c>
      <c r="E242" t="s">
        <v>448</v>
      </c>
      <c r="F242" t="s">
        <v>12</v>
      </c>
      <c r="G242" t="s">
        <v>22</v>
      </c>
      <c r="H242" t="s">
        <v>16</v>
      </c>
      <c r="I242" t="str">
        <f t="shared" si="3"/>
        <v>MAT MOTOS DISTRIBUIDOR HERO SASGNCB</v>
      </c>
      <c r="J242" t="str">
        <f>VLOOKUP(I242,[1]Base!$I:$J,2,0)</f>
        <v>Lina del Mar Florez</v>
      </c>
    </row>
    <row r="243" spans="1:10">
      <c r="A243" t="s">
        <v>839</v>
      </c>
      <c r="B243" s="14">
        <v>1002976414</v>
      </c>
      <c r="C243" t="s">
        <v>5</v>
      </c>
      <c r="D243" t="s">
        <v>118</v>
      </c>
      <c r="E243" t="s">
        <v>448</v>
      </c>
      <c r="F243" t="s">
        <v>6</v>
      </c>
      <c r="G243" t="s">
        <v>22</v>
      </c>
      <c r="H243" t="s">
        <v>22</v>
      </c>
      <c r="I243" t="str">
        <f t="shared" si="3"/>
        <v>MAT MOTOS DISTRIBUIDOR HERO SASVANTI</v>
      </c>
      <c r="J243" t="str">
        <f>VLOOKUP(I243,[1]Base!$I:$J,2,0)</f>
        <v>Juan Carlos Pinilla</v>
      </c>
    </row>
    <row r="244" spans="1:10">
      <c r="A244" t="s">
        <v>840</v>
      </c>
      <c r="B244" s="14">
        <v>1003180130</v>
      </c>
      <c r="C244" t="s">
        <v>8</v>
      </c>
      <c r="D244" t="s">
        <v>335</v>
      </c>
      <c r="E244" t="s">
        <v>449</v>
      </c>
      <c r="F244" t="s">
        <v>17</v>
      </c>
      <c r="G244" t="s">
        <v>290</v>
      </c>
      <c r="H244" t="s">
        <v>290</v>
      </c>
      <c r="I244" t="str">
        <f t="shared" si="3"/>
        <v>MATERIALES COLOMBIA SAS EN REORGANIZACIÓNGNC</v>
      </c>
      <c r="J244" t="str">
        <f>VLOOKUP(I244,[1]Base!$I:$J,2,0)</f>
        <v>Lina del Mar Florez</v>
      </c>
    </row>
    <row r="245" spans="1:10">
      <c r="A245" t="s">
        <v>841</v>
      </c>
      <c r="B245" s="14">
        <v>1002831732</v>
      </c>
      <c r="C245" t="s">
        <v>8</v>
      </c>
      <c r="D245" t="s">
        <v>77</v>
      </c>
      <c r="E245" t="s">
        <v>450</v>
      </c>
      <c r="F245" t="s">
        <v>12</v>
      </c>
      <c r="G245" t="s">
        <v>20</v>
      </c>
      <c r="H245" t="s">
        <v>16</v>
      </c>
      <c r="I245" t="str">
        <f t="shared" si="3"/>
        <v>MATERIALES EMO SASGNCB</v>
      </c>
      <c r="J245" t="str">
        <f>VLOOKUP(I245,[1]Base!$I:$J,2,0)</f>
        <v>Lina del Mar Florez</v>
      </c>
    </row>
    <row r="246" spans="1:10">
      <c r="A246" t="s">
        <v>842</v>
      </c>
      <c r="B246" s="14">
        <v>1002754415</v>
      </c>
      <c r="C246" t="s">
        <v>8</v>
      </c>
      <c r="D246" t="s">
        <v>78</v>
      </c>
      <c r="E246" t="s">
        <v>451</v>
      </c>
      <c r="F246" t="s">
        <v>17</v>
      </c>
      <c r="G246" t="s">
        <v>20</v>
      </c>
      <c r="H246" t="s">
        <v>290</v>
      </c>
      <c r="I246" t="str">
        <f t="shared" si="3"/>
        <v>MAXICASSA SASGNC</v>
      </c>
      <c r="J246" t="str">
        <f>VLOOKUP(I246,[1]Base!$I:$J,2,0)</f>
        <v>Lina del Mar Florez</v>
      </c>
    </row>
    <row r="247" spans="1:10">
      <c r="A247" t="s">
        <v>843</v>
      </c>
      <c r="B247" s="14">
        <v>1002864592</v>
      </c>
      <c r="C247" t="s">
        <v>36</v>
      </c>
      <c r="D247" t="s">
        <v>79</v>
      </c>
      <c r="E247" t="s">
        <v>452</v>
      </c>
      <c r="F247" t="s">
        <v>17</v>
      </c>
      <c r="G247" t="s">
        <v>305</v>
      </c>
      <c r="H247" t="s">
        <v>290</v>
      </c>
      <c r="I247" t="str">
        <f t="shared" si="3"/>
        <v>MAXIMUEBLES JC SASGNC</v>
      </c>
      <c r="J247" t="str">
        <f>VLOOKUP(I247,[1]Base!$I:$J,2,0)</f>
        <v>Lina del Mar Florez</v>
      </c>
    </row>
    <row r="248" spans="1:10">
      <c r="A248" t="s">
        <v>843</v>
      </c>
      <c r="B248" s="14">
        <v>1002864592</v>
      </c>
      <c r="C248" t="s">
        <v>36</v>
      </c>
      <c r="D248" t="s">
        <v>79</v>
      </c>
      <c r="E248" t="s">
        <v>452</v>
      </c>
      <c r="F248" t="s">
        <v>6</v>
      </c>
      <c r="G248" t="s">
        <v>305</v>
      </c>
      <c r="H248" t="s">
        <v>20</v>
      </c>
      <c r="I248" t="str">
        <f t="shared" si="3"/>
        <v>MAXIMUEBLES JC SASVANTI</v>
      </c>
      <c r="J248" t="str">
        <f>VLOOKUP(I248,[1]Base!$I:$J,2,0)</f>
        <v>Juan Carlos Pinilla</v>
      </c>
    </row>
    <row r="249" spans="1:10">
      <c r="A249" t="s">
        <v>844</v>
      </c>
      <c r="B249" s="14">
        <v>1002995078</v>
      </c>
      <c r="C249" t="s">
        <v>5</v>
      </c>
      <c r="D249" t="s">
        <v>126</v>
      </c>
      <c r="E249" t="s">
        <v>453</v>
      </c>
      <c r="F249" t="s">
        <v>17</v>
      </c>
      <c r="G249" t="s">
        <v>305</v>
      </c>
      <c r="H249" t="s">
        <v>290</v>
      </c>
      <c r="I249" t="str">
        <f t="shared" si="3"/>
        <v>Mercamotos Santander SASGNC</v>
      </c>
      <c r="J249" t="str">
        <f>VLOOKUP(I249,[1]Base!$I:$J,2,0)</f>
        <v>Lina del Mar Florez</v>
      </c>
    </row>
    <row r="250" spans="1:10">
      <c r="A250" t="s">
        <v>844</v>
      </c>
      <c r="B250" s="14">
        <v>1002995078</v>
      </c>
      <c r="C250" t="s">
        <v>5</v>
      </c>
      <c r="D250" t="s">
        <v>126</v>
      </c>
      <c r="E250" t="s">
        <v>453</v>
      </c>
      <c r="F250" t="s">
        <v>6</v>
      </c>
      <c r="G250" t="s">
        <v>305</v>
      </c>
      <c r="H250" t="s">
        <v>22</v>
      </c>
      <c r="I250" t="str">
        <f t="shared" si="3"/>
        <v>Mercamotos Santander SASVANTI</v>
      </c>
      <c r="J250" t="str">
        <f>VLOOKUP(I250,[1]Base!$I:$J,2,0)</f>
        <v>Juan Carlos Pinilla</v>
      </c>
    </row>
    <row r="251" spans="1:10">
      <c r="B251" s="14" t="e">
        <v>#N/A</v>
      </c>
      <c r="C251" t="s">
        <v>297</v>
      </c>
      <c r="D251" t="s">
        <v>295</v>
      </c>
      <c r="E251" t="s">
        <v>454</v>
      </c>
      <c r="F251" t="s">
        <v>6</v>
      </c>
      <c r="G251" t="s">
        <v>208</v>
      </c>
      <c r="H251" t="s">
        <v>208</v>
      </c>
      <c r="I251" t="str">
        <f t="shared" si="3"/>
        <v>MERVICOL SASVANTI</v>
      </c>
      <c r="J251" t="str">
        <f>VLOOKUP(I251,[1]Base!$I:$J,2,0)</f>
        <v>Firma Instaladora</v>
      </c>
    </row>
    <row r="252" spans="1:10">
      <c r="A252" t="s">
        <v>845</v>
      </c>
      <c r="B252" s="14" t="s">
        <v>947</v>
      </c>
      <c r="C252" t="s">
        <v>5</v>
      </c>
      <c r="D252" t="s">
        <v>80</v>
      </c>
      <c r="E252" t="s">
        <v>627</v>
      </c>
      <c r="F252" t="s">
        <v>6</v>
      </c>
      <c r="G252" t="s">
        <v>305</v>
      </c>
      <c r="H252" t="s">
        <v>22</v>
      </c>
      <c r="I252" t="str">
        <f t="shared" si="3"/>
        <v>METRO CYCLES S.A.S.VANTI</v>
      </c>
      <c r="J252" t="str">
        <f>VLOOKUP(I252,[1]Base!$I:$J,2,0)</f>
        <v>Juan Carlos Pinilla</v>
      </c>
    </row>
    <row r="253" spans="1:10">
      <c r="A253" t="s">
        <v>846</v>
      </c>
      <c r="B253" s="14">
        <v>1003003843</v>
      </c>
      <c r="C253" t="s">
        <v>5</v>
      </c>
      <c r="D253" t="s">
        <v>137</v>
      </c>
      <c r="E253" t="s">
        <v>628</v>
      </c>
      <c r="F253" t="s">
        <v>12</v>
      </c>
      <c r="G253" t="s">
        <v>15</v>
      </c>
      <c r="H253" t="s">
        <v>16</v>
      </c>
      <c r="I253" t="str">
        <f t="shared" si="3"/>
        <v>Moto Auto Store S.A.S.GNCB</v>
      </c>
      <c r="J253" t="str">
        <f>VLOOKUP(I253,[1]Base!$I:$J,2,0)</f>
        <v>Lina del Mar Florez</v>
      </c>
    </row>
    <row r="254" spans="1:10">
      <c r="A254" t="s">
        <v>847</v>
      </c>
      <c r="B254" s="14">
        <v>1002953746</v>
      </c>
      <c r="C254" t="s">
        <v>5</v>
      </c>
      <c r="D254" t="s">
        <v>81</v>
      </c>
      <c r="E254" t="s">
        <v>629</v>
      </c>
      <c r="F254" t="s">
        <v>17</v>
      </c>
      <c r="G254" t="s">
        <v>290</v>
      </c>
      <c r="H254" t="s">
        <v>290</v>
      </c>
      <c r="I254" t="str">
        <f t="shared" si="3"/>
        <v>MOTO CUBICO S.A.SGNC</v>
      </c>
      <c r="J254" t="str">
        <f>VLOOKUP(I254,[1]Base!$I:$J,2,0)</f>
        <v>Lina del Mar Florez</v>
      </c>
    </row>
    <row r="255" spans="1:10">
      <c r="A255" t="s">
        <v>848</v>
      </c>
      <c r="B255" s="14">
        <v>1002999731</v>
      </c>
      <c r="C255" t="s">
        <v>5</v>
      </c>
      <c r="D255" t="s">
        <v>134</v>
      </c>
      <c r="E255" t="s">
        <v>630</v>
      </c>
      <c r="F255" t="s">
        <v>12</v>
      </c>
      <c r="G255" t="s">
        <v>22</v>
      </c>
      <c r="H255" t="s">
        <v>16</v>
      </c>
      <c r="I255" t="str">
        <f t="shared" si="3"/>
        <v>Moto Market Group S.A.S.GNCB</v>
      </c>
      <c r="J255" t="str">
        <f>VLOOKUP(I255,[1]Base!$I:$J,2,0)</f>
        <v>Lina del Mar Florez</v>
      </c>
    </row>
    <row r="256" spans="1:10">
      <c r="A256">
        <v>901468438</v>
      </c>
      <c r="B256" s="14">
        <v>1003003876</v>
      </c>
      <c r="C256" t="s">
        <v>5</v>
      </c>
      <c r="D256" t="s">
        <v>135</v>
      </c>
      <c r="E256" t="s">
        <v>631</v>
      </c>
      <c r="F256" t="s">
        <v>6</v>
      </c>
      <c r="G256" t="s">
        <v>15</v>
      </c>
      <c r="H256" t="s">
        <v>15</v>
      </c>
      <c r="I256" t="str">
        <f t="shared" si="3"/>
        <v>Moto News S.A.S.VANTI</v>
      </c>
      <c r="J256" t="str">
        <f>VLOOKUP(I256,[1]Base!$I:$J,2,0)</f>
        <v>Juan Carlos Pinilla</v>
      </c>
    </row>
    <row r="257" spans="1:10">
      <c r="A257">
        <v>901468438</v>
      </c>
      <c r="B257" s="14">
        <v>1003003876</v>
      </c>
      <c r="C257" t="s">
        <v>5</v>
      </c>
      <c r="D257" t="s">
        <v>135</v>
      </c>
      <c r="E257" t="s">
        <v>631</v>
      </c>
      <c r="F257" t="s">
        <v>12</v>
      </c>
      <c r="G257" t="s">
        <v>15</v>
      </c>
      <c r="H257" t="s">
        <v>15</v>
      </c>
      <c r="I257" t="str">
        <f t="shared" si="3"/>
        <v>Moto News S.A.S.GNCB</v>
      </c>
      <c r="J257" t="str">
        <f>VLOOKUP(I257,[1]Base!$I:$J,2,0)</f>
        <v>Juan Carlos Pinilla</v>
      </c>
    </row>
    <row r="258" spans="1:10">
      <c r="A258" t="s">
        <v>849</v>
      </c>
      <c r="B258" s="14">
        <v>1002962724</v>
      </c>
      <c r="C258" t="s">
        <v>5</v>
      </c>
      <c r="D258" t="s">
        <v>158</v>
      </c>
      <c r="E258" t="s">
        <v>632</v>
      </c>
      <c r="F258" t="s">
        <v>6</v>
      </c>
      <c r="G258" t="s">
        <v>336</v>
      </c>
      <c r="H258" t="s">
        <v>336</v>
      </c>
      <c r="I258" t="str">
        <f t="shared" si="3"/>
        <v>Moto Services S.A.S.VANTI</v>
      </c>
      <c r="J258" t="str">
        <f>VLOOKUP(I258,[1]Base!$I:$J,2,0)</f>
        <v>Juan Carlos Pinilla</v>
      </c>
    </row>
    <row r="259" spans="1:10">
      <c r="A259" t="s">
        <v>849</v>
      </c>
      <c r="B259" s="14">
        <v>1002962724</v>
      </c>
      <c r="C259" t="s">
        <v>5</v>
      </c>
      <c r="D259" t="s">
        <v>158</v>
      </c>
      <c r="E259" t="s">
        <v>632</v>
      </c>
      <c r="F259" t="s">
        <v>12</v>
      </c>
      <c r="G259" t="s">
        <v>336</v>
      </c>
      <c r="H259" t="s">
        <v>16</v>
      </c>
      <c r="I259" t="str">
        <f t="shared" ref="I259:I322" si="4">D259&amp;F259</f>
        <v>Moto Services S.A.S.GNCB</v>
      </c>
      <c r="J259" t="str">
        <f>VLOOKUP(I259,[1]Base!$I:$J,2,0)</f>
        <v>Lina del Mar Florez</v>
      </c>
    </row>
    <row r="260" spans="1:10">
      <c r="A260" t="s">
        <v>850</v>
      </c>
      <c r="B260" s="14">
        <v>1002945590</v>
      </c>
      <c r="C260" t="s">
        <v>5</v>
      </c>
      <c r="D260" t="s">
        <v>82</v>
      </c>
      <c r="E260" t="s">
        <v>633</v>
      </c>
      <c r="F260" t="s">
        <v>6</v>
      </c>
      <c r="G260" t="s">
        <v>16</v>
      </c>
      <c r="H260" t="s">
        <v>22</v>
      </c>
      <c r="I260" t="str">
        <f t="shared" si="4"/>
        <v>Moto Xtreme Hero S.A.S.VANTI</v>
      </c>
      <c r="J260" t="str">
        <f>VLOOKUP(I260,[1]Base!$I:$J,2,0)</f>
        <v>Juan Carlos Pinilla</v>
      </c>
    </row>
    <row r="261" spans="1:10">
      <c r="A261" t="s">
        <v>851</v>
      </c>
      <c r="B261" s="14">
        <v>1002997604</v>
      </c>
      <c r="C261" t="s">
        <v>5</v>
      </c>
      <c r="D261" t="s">
        <v>128</v>
      </c>
      <c r="E261" t="s">
        <v>634</v>
      </c>
      <c r="F261" t="s">
        <v>6</v>
      </c>
      <c r="G261" t="s">
        <v>15</v>
      </c>
      <c r="H261" t="s">
        <v>15</v>
      </c>
      <c r="I261" t="str">
        <f t="shared" si="4"/>
        <v>Motonipon S.A.S.VANTI</v>
      </c>
      <c r="J261" t="str">
        <f>VLOOKUP(I261,[1]Base!$I:$J,2,0)</f>
        <v>Juan Carlos Pinilla</v>
      </c>
    </row>
    <row r="262" spans="1:10">
      <c r="A262" t="s">
        <v>851</v>
      </c>
      <c r="B262" s="14">
        <v>1002997604</v>
      </c>
      <c r="C262" t="s">
        <v>5</v>
      </c>
      <c r="D262" t="s">
        <v>128</v>
      </c>
      <c r="E262" t="s">
        <v>634</v>
      </c>
      <c r="F262" t="s">
        <v>12</v>
      </c>
      <c r="G262" t="s">
        <v>15</v>
      </c>
      <c r="H262" t="s">
        <v>16</v>
      </c>
      <c r="I262" t="str">
        <f t="shared" si="4"/>
        <v>Motonipon S.A.S.GNCB</v>
      </c>
      <c r="J262" t="str">
        <f>VLOOKUP(I262,[1]Base!$I:$J,2,0)</f>
        <v>Lina del Mar Florez</v>
      </c>
    </row>
    <row r="263" spans="1:10">
      <c r="B263" s="14" t="e">
        <v>#N/A</v>
      </c>
      <c r="C263" t="s">
        <v>255</v>
      </c>
      <c r="D263" t="s">
        <v>281</v>
      </c>
      <c r="E263" t="s">
        <v>455</v>
      </c>
      <c r="F263" t="s">
        <v>6</v>
      </c>
      <c r="G263" t="s">
        <v>255</v>
      </c>
      <c r="H263" t="s">
        <v>255</v>
      </c>
      <c r="I263" t="str">
        <f t="shared" si="4"/>
        <v>MOTOR GAS DE COLOMBIAVANTI</v>
      </c>
      <c r="J263" t="str">
        <f>VLOOKUP(I263,[1]Base!$I:$J,2,0)</f>
        <v>GNV</v>
      </c>
    </row>
    <row r="264" spans="1:10">
      <c r="A264" t="s">
        <v>852</v>
      </c>
      <c r="B264" s="14">
        <v>1003130188</v>
      </c>
      <c r="C264" t="s">
        <v>5</v>
      </c>
      <c r="D264" t="s">
        <v>301</v>
      </c>
      <c r="E264" t="s">
        <v>535</v>
      </c>
      <c r="F264" t="s">
        <v>6</v>
      </c>
      <c r="G264" t="s">
        <v>15</v>
      </c>
      <c r="H264" t="s">
        <v>15</v>
      </c>
      <c r="I264" t="str">
        <f t="shared" si="4"/>
        <v>MOTOR UNO S.A.S.VANTI</v>
      </c>
      <c r="J264" t="str">
        <f>VLOOKUP(I264,[1]Base!$I:$J,2,0)</f>
        <v>Juan Carlos Pinilla</v>
      </c>
    </row>
    <row r="265" spans="1:10">
      <c r="A265" t="s">
        <v>853</v>
      </c>
      <c r="B265" s="14">
        <v>1003090346</v>
      </c>
      <c r="C265" t="s">
        <v>5</v>
      </c>
      <c r="D265" t="s">
        <v>261</v>
      </c>
      <c r="E265" t="s">
        <v>635</v>
      </c>
      <c r="F265" t="s">
        <v>6</v>
      </c>
      <c r="G265" t="s">
        <v>15</v>
      </c>
      <c r="H265" t="s">
        <v>15</v>
      </c>
      <c r="I265" t="str">
        <f t="shared" si="4"/>
        <v>MOTORACING DE COLOMBIA S.A.S.VANTI</v>
      </c>
      <c r="J265" t="str">
        <f>VLOOKUP(I265,[1]Base!$I:$J,2,0)</f>
        <v>Juan Carlos Pinilla</v>
      </c>
    </row>
    <row r="266" spans="1:10">
      <c r="A266" t="s">
        <v>854</v>
      </c>
      <c r="B266" s="14">
        <v>1003022100</v>
      </c>
      <c r="C266" t="s">
        <v>5</v>
      </c>
      <c r="D266" t="s">
        <v>159</v>
      </c>
      <c r="E266" t="s">
        <v>636</v>
      </c>
      <c r="F266" t="s">
        <v>12</v>
      </c>
      <c r="G266" t="s">
        <v>22</v>
      </c>
      <c r="H266" t="s">
        <v>16</v>
      </c>
      <c r="I266" t="str">
        <f t="shared" si="4"/>
        <v>Motorcycle Land S.A.S.GNCB</v>
      </c>
      <c r="J266" t="str">
        <f>VLOOKUP(I266,[1]Base!$I:$J,2,0)</f>
        <v>Lina del Mar Florez</v>
      </c>
    </row>
    <row r="267" spans="1:10">
      <c r="A267" t="s">
        <v>854</v>
      </c>
      <c r="B267" s="14">
        <v>1003022100</v>
      </c>
      <c r="C267" t="s">
        <v>5</v>
      </c>
      <c r="D267" t="s">
        <v>159</v>
      </c>
      <c r="E267" t="s">
        <v>636</v>
      </c>
      <c r="F267" t="s">
        <v>6</v>
      </c>
      <c r="G267" t="s">
        <v>22</v>
      </c>
      <c r="H267" t="s">
        <v>22</v>
      </c>
      <c r="I267" t="str">
        <f t="shared" si="4"/>
        <v>Motorcycle Land S.A.S.VANTI</v>
      </c>
      <c r="J267" t="str">
        <f>VLOOKUP(I267,[1]Base!$I:$J,2,0)</f>
        <v>Juan Carlos Pinilla</v>
      </c>
    </row>
    <row r="268" spans="1:10">
      <c r="A268" t="s">
        <v>855</v>
      </c>
      <c r="B268" s="14">
        <v>1002965666</v>
      </c>
      <c r="C268" t="s">
        <v>5</v>
      </c>
      <c r="D268" t="s">
        <v>83</v>
      </c>
      <c r="E268" t="s">
        <v>637</v>
      </c>
      <c r="F268" t="s">
        <v>12</v>
      </c>
      <c r="G268" t="s">
        <v>305</v>
      </c>
      <c r="H268" t="s">
        <v>16</v>
      </c>
      <c r="I268" t="str">
        <f t="shared" si="4"/>
        <v>Motorcycle Markets S.A.S.GNCB</v>
      </c>
      <c r="J268" t="str">
        <f>VLOOKUP(I268,[1]Base!$I:$J,2,0)</f>
        <v>Lina del Mar Florez</v>
      </c>
    </row>
    <row r="269" spans="1:10">
      <c r="A269" t="s">
        <v>855</v>
      </c>
      <c r="B269" s="14">
        <v>1002965666</v>
      </c>
      <c r="C269" t="s">
        <v>5</v>
      </c>
      <c r="D269" t="s">
        <v>83</v>
      </c>
      <c r="E269" t="s">
        <v>637</v>
      </c>
      <c r="F269" t="s">
        <v>6</v>
      </c>
      <c r="G269" t="s">
        <v>305</v>
      </c>
      <c r="H269" t="s">
        <v>22</v>
      </c>
      <c r="I269" t="str">
        <f t="shared" si="4"/>
        <v>Motorcycle Markets S.A.S.VANTI</v>
      </c>
      <c r="J269" t="str">
        <f>VLOOKUP(I269,[1]Base!$I:$J,2,0)</f>
        <v>Juan Carlos Pinilla</v>
      </c>
    </row>
    <row r="270" spans="1:10">
      <c r="A270" t="s">
        <v>856</v>
      </c>
      <c r="B270" s="14">
        <v>1002919241</v>
      </c>
      <c r="C270" t="s">
        <v>5</v>
      </c>
      <c r="D270" t="s">
        <v>84</v>
      </c>
      <c r="E270" t="s">
        <v>638</v>
      </c>
      <c r="F270" t="s">
        <v>17</v>
      </c>
      <c r="G270" t="s">
        <v>22</v>
      </c>
      <c r="H270" t="s">
        <v>290</v>
      </c>
      <c r="I270" t="str">
        <f t="shared" si="4"/>
        <v>Motored de Colombia S.A.S.GNC</v>
      </c>
      <c r="J270" t="str">
        <f>VLOOKUP(I270,[1]Base!$I:$J,2,0)</f>
        <v>Lina del Mar Florez</v>
      </c>
    </row>
    <row r="271" spans="1:10">
      <c r="A271" t="s">
        <v>856</v>
      </c>
      <c r="B271" s="14">
        <v>1002919241</v>
      </c>
      <c r="C271" t="s">
        <v>5</v>
      </c>
      <c r="D271" t="s">
        <v>84</v>
      </c>
      <c r="E271" t="s">
        <v>638</v>
      </c>
      <c r="F271" t="s">
        <v>12</v>
      </c>
      <c r="G271" t="s">
        <v>22</v>
      </c>
      <c r="H271" t="s">
        <v>16</v>
      </c>
      <c r="I271" t="str">
        <f t="shared" si="4"/>
        <v>Motored de Colombia S.A.S.GNCB</v>
      </c>
      <c r="J271" t="str">
        <f>VLOOKUP(I271,[1]Base!$I:$J,2,0)</f>
        <v>Lina del Mar Florez</v>
      </c>
    </row>
    <row r="272" spans="1:10">
      <c r="A272" t="s">
        <v>857</v>
      </c>
      <c r="B272" s="14">
        <v>1003079662</v>
      </c>
      <c r="C272" t="s">
        <v>5</v>
      </c>
      <c r="D272" t="s">
        <v>288</v>
      </c>
      <c r="E272" t="s">
        <v>536</v>
      </c>
      <c r="F272" t="s">
        <v>17</v>
      </c>
      <c r="G272" t="s">
        <v>305</v>
      </c>
      <c r="H272" t="s">
        <v>290</v>
      </c>
      <c r="I272" t="str">
        <f t="shared" si="4"/>
        <v>MOTORIENTE BUCARAMANGA LTDA.GNC</v>
      </c>
      <c r="J272" t="str">
        <f>VLOOKUP(I272,[1]Base!$I:$J,2,0)</f>
        <v>Lina del Mar Florez</v>
      </c>
    </row>
    <row r="273" spans="1:11">
      <c r="A273" t="s">
        <v>857</v>
      </c>
      <c r="B273" s="14">
        <v>1003079662</v>
      </c>
      <c r="C273" t="s">
        <v>5</v>
      </c>
      <c r="D273" t="s">
        <v>288</v>
      </c>
      <c r="E273" t="s">
        <v>536</v>
      </c>
      <c r="F273" t="s">
        <v>6</v>
      </c>
      <c r="G273" t="s">
        <v>305</v>
      </c>
      <c r="H273" t="s">
        <v>22</v>
      </c>
      <c r="I273" t="str">
        <f t="shared" si="4"/>
        <v>MOTORIENTE BUCARAMANGA LTDA.VANTI</v>
      </c>
      <c r="J273" t="str">
        <f>VLOOKUP(I273,[1]Base!$I:$J,2,0)</f>
        <v>Juan Carlos Pinilla</v>
      </c>
    </row>
    <row r="274" spans="1:11">
      <c r="A274" t="s">
        <v>857</v>
      </c>
      <c r="B274" s="14">
        <v>1003079662</v>
      </c>
      <c r="C274" t="s">
        <v>5</v>
      </c>
      <c r="D274" t="s">
        <v>288</v>
      </c>
      <c r="E274" t="s">
        <v>536</v>
      </c>
      <c r="F274" t="s">
        <v>12</v>
      </c>
      <c r="G274" t="s">
        <v>305</v>
      </c>
      <c r="H274" t="s">
        <v>13</v>
      </c>
      <c r="I274" t="str">
        <f t="shared" si="4"/>
        <v>MOTORIENTE BUCARAMANGA LTDA.GNCB</v>
      </c>
      <c r="J274" t="str">
        <f>VLOOKUP(I274,[1]Base!$I:$J,2,0)</f>
        <v>Lina del Mar Florez</v>
      </c>
    </row>
    <row r="275" spans="1:11">
      <c r="A275" t="s">
        <v>858</v>
      </c>
      <c r="B275" s="14">
        <v>1003027586</v>
      </c>
      <c r="C275" t="s">
        <v>5</v>
      </c>
      <c r="D275" t="s">
        <v>177</v>
      </c>
      <c r="E275" t="s">
        <v>639</v>
      </c>
      <c r="F275" t="s">
        <v>6</v>
      </c>
      <c r="G275" t="s">
        <v>13</v>
      </c>
      <c r="H275" t="s">
        <v>15</v>
      </c>
      <c r="I275" t="str">
        <f t="shared" si="4"/>
        <v>MOTOS ACOSTA S.A.S.VANTI</v>
      </c>
      <c r="J275" t="str">
        <f>VLOOKUP(I275,[1]Base!$I:$J,2,0)</f>
        <v>Juan Carlos Pinilla</v>
      </c>
    </row>
    <row r="276" spans="1:11">
      <c r="A276" t="s">
        <v>859</v>
      </c>
      <c r="B276" s="14">
        <v>1002970658</v>
      </c>
      <c r="C276" t="s">
        <v>5</v>
      </c>
      <c r="D276" t="s">
        <v>115</v>
      </c>
      <c r="E276" t="s">
        <v>640</v>
      </c>
      <c r="F276" t="s">
        <v>6</v>
      </c>
      <c r="G276" t="s">
        <v>22</v>
      </c>
      <c r="H276" t="s">
        <v>22</v>
      </c>
      <c r="I276" t="str">
        <f t="shared" si="4"/>
        <v>Motos Cundinamarca S.A.S.VANTI</v>
      </c>
      <c r="J276" t="str">
        <f>VLOOKUP(I276,[1]Base!$I:$J,2,0)</f>
        <v>Juan Carlos Pinilla</v>
      </c>
    </row>
    <row r="277" spans="1:11">
      <c r="A277" t="s">
        <v>860</v>
      </c>
      <c r="B277" s="14" t="s">
        <v>948</v>
      </c>
      <c r="C277" t="s">
        <v>5</v>
      </c>
      <c r="D277" t="s">
        <v>121</v>
      </c>
      <c r="E277" t="s">
        <v>456</v>
      </c>
      <c r="F277" t="s">
        <v>12</v>
      </c>
      <c r="G277" t="s">
        <v>22</v>
      </c>
      <c r="H277" t="s">
        <v>16</v>
      </c>
      <c r="I277" t="str">
        <f t="shared" si="4"/>
        <v>MOTOS DE LA BOYACA SASGNCB</v>
      </c>
      <c r="J277" t="str">
        <f>VLOOKUP(I277,[1]Base!$I:$J,2,0)</f>
        <v>Lina del Mar Florez</v>
      </c>
    </row>
    <row r="278" spans="1:11">
      <c r="A278" t="s">
        <v>861</v>
      </c>
      <c r="B278" s="14">
        <v>1003035082</v>
      </c>
      <c r="C278" t="s">
        <v>5</v>
      </c>
      <c r="D278" t="s">
        <v>178</v>
      </c>
      <c r="E278" t="s">
        <v>641</v>
      </c>
      <c r="F278" t="s">
        <v>12</v>
      </c>
      <c r="G278" t="s">
        <v>22</v>
      </c>
      <c r="H278" t="s">
        <v>13</v>
      </c>
      <c r="I278" t="str">
        <f t="shared" si="4"/>
        <v>Motos del Camino S.A.S.GNCB</v>
      </c>
      <c r="J278" t="str">
        <f>VLOOKUP(I278,[1]Base!$I:$J,2,0)</f>
        <v>Lina del Mar Florez</v>
      </c>
    </row>
    <row r="279" spans="1:11">
      <c r="A279" t="s">
        <v>862</v>
      </c>
      <c r="B279" s="14" t="s">
        <v>949</v>
      </c>
      <c r="C279" t="s">
        <v>5</v>
      </c>
      <c r="D279" t="s">
        <v>85</v>
      </c>
      <c r="E279" t="s">
        <v>457</v>
      </c>
      <c r="F279" t="s">
        <v>12</v>
      </c>
      <c r="G279" t="s">
        <v>15</v>
      </c>
      <c r="H279" t="s">
        <v>13</v>
      </c>
      <c r="I279" t="str">
        <f t="shared" si="4"/>
        <v>MOTOS DEL SUR BOGOTA SASGNCB</v>
      </c>
      <c r="J279" t="str">
        <f>VLOOKUP(I279,[1]Base!$I:$J,2,0)</f>
        <v>Lina del Mar Florez</v>
      </c>
    </row>
    <row r="280" spans="1:11">
      <c r="A280" t="s">
        <v>863</v>
      </c>
      <c r="B280" s="14">
        <v>1003003969</v>
      </c>
      <c r="C280" t="s">
        <v>5</v>
      </c>
      <c r="D280" t="s">
        <v>154</v>
      </c>
      <c r="E280" t="s">
        <v>642</v>
      </c>
      <c r="F280" t="s">
        <v>12</v>
      </c>
      <c r="G280" t="s">
        <v>15</v>
      </c>
      <c r="H280" t="s">
        <v>16</v>
      </c>
      <c r="I280" t="str">
        <f t="shared" si="4"/>
        <v>Motos del Tropico S.A.S.GNCB</v>
      </c>
      <c r="J280" t="str">
        <f>VLOOKUP(I280,[1]Base!$I:$J,2,0)</f>
        <v>Lina del Mar Florez</v>
      </c>
    </row>
    <row r="281" spans="1:11">
      <c r="A281" t="s">
        <v>864</v>
      </c>
      <c r="B281" s="14">
        <v>1003001621</v>
      </c>
      <c r="C281" t="s">
        <v>5</v>
      </c>
      <c r="D281" t="s">
        <v>148</v>
      </c>
      <c r="E281" t="s">
        <v>643</v>
      </c>
      <c r="F281" t="s">
        <v>12</v>
      </c>
      <c r="G281" t="s">
        <v>15</v>
      </c>
      <c r="H281" t="s">
        <v>16</v>
      </c>
      <c r="I281" t="str">
        <f t="shared" si="4"/>
        <v>Motos Macrostore S.A.S.GNCB</v>
      </c>
      <c r="J281" t="str">
        <f>VLOOKUP(I281,[1]Base!$I:$J,2,0)</f>
        <v>Lina del Mar Florez</v>
      </c>
    </row>
    <row r="282" spans="1:11">
      <c r="A282" t="s">
        <v>864</v>
      </c>
      <c r="B282" s="14">
        <v>1003001621</v>
      </c>
      <c r="C282" t="s">
        <v>5</v>
      </c>
      <c r="D282" t="s">
        <v>148</v>
      </c>
      <c r="E282" t="s">
        <v>643</v>
      </c>
      <c r="F282" t="s">
        <v>6</v>
      </c>
      <c r="G282" t="s">
        <v>15</v>
      </c>
      <c r="H282" t="s">
        <v>15</v>
      </c>
      <c r="I282" t="str">
        <f t="shared" si="4"/>
        <v>Motos Macrostore S.A.S.VANTI</v>
      </c>
      <c r="J282" t="str">
        <f>VLOOKUP(I282,[1]Base!$I:$J,2,0)</f>
        <v>Juan Carlos Pinilla</v>
      </c>
    </row>
    <row r="283" spans="1:11">
      <c r="A283" t="s">
        <v>865</v>
      </c>
      <c r="B283" s="14" t="s">
        <v>950</v>
      </c>
      <c r="C283" t="s">
        <v>5</v>
      </c>
      <c r="D283" t="s">
        <v>87</v>
      </c>
      <c r="E283" t="s">
        <v>644</v>
      </c>
      <c r="F283" t="s">
        <v>12</v>
      </c>
      <c r="G283" t="s">
        <v>22</v>
      </c>
      <c r="H283" t="s">
        <v>16</v>
      </c>
      <c r="I283" t="str">
        <f t="shared" si="4"/>
        <v>Motos Naked S.A.S.GNCB</v>
      </c>
      <c r="J283" t="str">
        <f>VLOOKUP(I283,[1]Base!$I:$J,2,0)</f>
        <v>Lina del Mar Florez</v>
      </c>
    </row>
    <row r="284" spans="1:11">
      <c r="A284" t="s">
        <v>865</v>
      </c>
      <c r="B284" s="14" t="s">
        <v>950</v>
      </c>
      <c r="C284" t="s">
        <v>5</v>
      </c>
      <c r="D284" t="s">
        <v>87</v>
      </c>
      <c r="E284" t="s">
        <v>644</v>
      </c>
      <c r="F284" t="s">
        <v>17</v>
      </c>
      <c r="G284" t="s">
        <v>22</v>
      </c>
      <c r="H284" t="s">
        <v>290</v>
      </c>
      <c r="I284" t="str">
        <f t="shared" si="4"/>
        <v>Motos Naked S.A.S.GNC</v>
      </c>
      <c r="J284" t="str">
        <f>VLOOKUP(I284,[1]Base!$I:$J,2,0)</f>
        <v>Lina del Mar Florez</v>
      </c>
    </row>
    <row r="285" spans="1:11">
      <c r="A285" t="s">
        <v>866</v>
      </c>
      <c r="B285" s="14">
        <v>1003182905</v>
      </c>
      <c r="C285" t="s">
        <v>5</v>
      </c>
      <c r="D285" t="s">
        <v>326</v>
      </c>
      <c r="E285" t="s">
        <v>458</v>
      </c>
      <c r="F285" t="s">
        <v>12</v>
      </c>
      <c r="G285" t="s">
        <v>16</v>
      </c>
      <c r="H285" t="s">
        <v>16</v>
      </c>
      <c r="I285" t="str">
        <f t="shared" si="4"/>
        <v>MOTOS PRISMA SASGNCB</v>
      </c>
      <c r="J285" t="str">
        <f>VLOOKUP(I285,[1]Base!$I:$J,2,0)</f>
        <v>Lina del Mar Florez</v>
      </c>
    </row>
    <row r="286" spans="1:11">
      <c r="A286" t="s">
        <v>866</v>
      </c>
      <c r="B286" s="14">
        <v>1003182905</v>
      </c>
      <c r="C286" t="s">
        <v>5</v>
      </c>
      <c r="D286" t="s">
        <v>326</v>
      </c>
      <c r="E286" t="s">
        <v>458</v>
      </c>
      <c r="F286" t="s">
        <v>6</v>
      </c>
      <c r="G286" t="s">
        <v>16</v>
      </c>
      <c r="H286" t="s">
        <v>15</v>
      </c>
      <c r="I286" t="str">
        <f t="shared" si="4"/>
        <v>MOTOS PRISMA SASVANTI</v>
      </c>
      <c r="J286" t="str">
        <f>VLOOKUP(I286,[1]Base!$I:$J,2,0)</f>
        <v>Juan Carlos Pinilla</v>
      </c>
    </row>
    <row r="287" spans="1:11">
      <c r="A287" t="s">
        <v>867</v>
      </c>
      <c r="B287" s="14">
        <v>1001251176</v>
      </c>
      <c r="C287" t="s">
        <v>5</v>
      </c>
      <c r="D287" t="s">
        <v>144</v>
      </c>
      <c r="E287" t="s">
        <v>459</v>
      </c>
      <c r="F287" t="s">
        <v>17</v>
      </c>
      <c r="G287" t="s">
        <v>305</v>
      </c>
      <c r="H287" t="s">
        <v>290</v>
      </c>
      <c r="I287" t="str">
        <f t="shared" si="4"/>
        <v>Motos y MotosGNC</v>
      </c>
      <c r="J287" t="str">
        <f>VLOOKUP(I287,[1]Base!$I:$J,2,0)</f>
        <v>Lina del Mar Florez</v>
      </c>
    </row>
    <row r="288" spans="1:11">
      <c r="A288" s="13" t="s">
        <v>700</v>
      </c>
      <c r="B288" s="14">
        <v>1002981126</v>
      </c>
      <c r="C288" t="s">
        <v>5</v>
      </c>
      <c r="D288" t="s">
        <v>246</v>
      </c>
      <c r="E288" t="s">
        <v>537</v>
      </c>
      <c r="F288" t="s">
        <v>6</v>
      </c>
      <c r="G288" t="s">
        <v>13</v>
      </c>
      <c r="H288" t="s">
        <v>22</v>
      </c>
      <c r="I288" t="str">
        <f t="shared" si="4"/>
        <v>MOTOS Y REPUESTOS LA PRINCIPAL S.A.S.VANTI</v>
      </c>
      <c r="J288" t="str">
        <f>VLOOKUP(I288,[1]Base!$I:$J,2,0)</f>
        <v>Juan Carlos Pinilla</v>
      </c>
      <c r="K288" t="s">
        <v>699</v>
      </c>
    </row>
    <row r="289" spans="1:10">
      <c r="A289" t="s">
        <v>868</v>
      </c>
      <c r="B289" s="14">
        <v>1002970981</v>
      </c>
      <c r="C289" t="s">
        <v>5</v>
      </c>
      <c r="D289" t="s">
        <v>88</v>
      </c>
      <c r="E289" t="s">
        <v>645</v>
      </c>
      <c r="F289" t="s">
        <v>12</v>
      </c>
      <c r="G289" t="s">
        <v>22</v>
      </c>
      <c r="H289" t="s">
        <v>16</v>
      </c>
      <c r="I289" t="str">
        <f t="shared" si="4"/>
        <v>Motoselva Motocicletas S.A.S.GNCB</v>
      </c>
      <c r="J289" t="str">
        <f>VLOOKUP(I289,[1]Base!$I:$J,2,0)</f>
        <v>Lina del Mar Florez</v>
      </c>
    </row>
    <row r="290" spans="1:10">
      <c r="A290" t="s">
        <v>869</v>
      </c>
      <c r="B290" s="14">
        <v>1002957876</v>
      </c>
      <c r="C290" t="s">
        <v>5</v>
      </c>
      <c r="D290" t="s">
        <v>89</v>
      </c>
      <c r="E290" t="s">
        <v>460</v>
      </c>
      <c r="F290" t="s">
        <v>6</v>
      </c>
      <c r="G290" t="s">
        <v>13</v>
      </c>
      <c r="H290" t="s">
        <v>22</v>
      </c>
      <c r="I290" t="str">
        <f t="shared" si="4"/>
        <v>MOTOZONA SASVANTI</v>
      </c>
      <c r="J290" t="str">
        <f>VLOOKUP(I290,[1]Base!$I:$J,2,0)</f>
        <v>Juan Carlos Pinilla</v>
      </c>
    </row>
    <row r="291" spans="1:10">
      <c r="A291" t="s">
        <v>870</v>
      </c>
      <c r="B291" s="14">
        <v>1003013224</v>
      </c>
      <c r="C291" t="s">
        <v>5</v>
      </c>
      <c r="D291" t="s">
        <v>152</v>
      </c>
      <c r="E291" t="s">
        <v>646</v>
      </c>
      <c r="F291" t="s">
        <v>6</v>
      </c>
      <c r="G291" t="s">
        <v>15</v>
      </c>
      <c r="H291" t="s">
        <v>15</v>
      </c>
      <c r="I291" t="str">
        <f t="shared" si="4"/>
        <v>Movilidad Electrica Canaan S.A.S.VANTI</v>
      </c>
      <c r="J291" t="str">
        <f>VLOOKUP(I291,[1]Base!$I:$J,2,0)</f>
        <v>Juan Carlos Pinilla</v>
      </c>
    </row>
    <row r="292" spans="1:10">
      <c r="A292" t="s">
        <v>871</v>
      </c>
      <c r="B292" s="14">
        <v>1003018061</v>
      </c>
      <c r="C292" t="s">
        <v>5</v>
      </c>
      <c r="D292" t="s">
        <v>213</v>
      </c>
      <c r="E292" t="s">
        <v>647</v>
      </c>
      <c r="F292" t="s">
        <v>12</v>
      </c>
      <c r="G292" t="s">
        <v>22</v>
      </c>
      <c r="H292" t="s">
        <v>16</v>
      </c>
      <c r="I292" t="str">
        <f t="shared" si="4"/>
        <v>Movilidad en Línea S.A.S.GNCB</v>
      </c>
      <c r="J292" t="str">
        <f>VLOOKUP(I292,[1]Base!$I:$J,2,0)</f>
        <v>Lina del Mar Florez</v>
      </c>
    </row>
    <row r="293" spans="1:10">
      <c r="A293" t="s">
        <v>871</v>
      </c>
      <c r="B293" s="14">
        <v>1003018061</v>
      </c>
      <c r="C293" t="s">
        <v>5</v>
      </c>
      <c r="D293" t="s">
        <v>213</v>
      </c>
      <c r="E293" t="s">
        <v>647</v>
      </c>
      <c r="F293" t="s">
        <v>6</v>
      </c>
      <c r="G293" t="s">
        <v>22</v>
      </c>
      <c r="H293" t="s">
        <v>22</v>
      </c>
      <c r="I293" t="str">
        <f t="shared" si="4"/>
        <v>Movilidad en Línea S.A.S.VANTI</v>
      </c>
      <c r="J293" t="str">
        <f>VLOOKUP(I293,[1]Base!$I:$J,2,0)</f>
        <v>Juan Carlos Pinilla</v>
      </c>
    </row>
    <row r="294" spans="1:10">
      <c r="A294" t="s">
        <v>872</v>
      </c>
      <c r="B294" s="14">
        <v>1003012624</v>
      </c>
      <c r="C294" t="s">
        <v>5</v>
      </c>
      <c r="D294" t="s">
        <v>210</v>
      </c>
      <c r="E294" t="s">
        <v>648</v>
      </c>
      <c r="F294" t="s">
        <v>6</v>
      </c>
      <c r="G294" t="s">
        <v>16</v>
      </c>
      <c r="H294" t="s">
        <v>22</v>
      </c>
      <c r="I294" t="str">
        <f t="shared" si="4"/>
        <v>MOVIMOTOR S.A.S.VANTI</v>
      </c>
      <c r="J294" t="str">
        <f>VLOOKUP(I294,[1]Base!$I:$J,2,0)</f>
        <v>Juan Carlos Pinilla</v>
      </c>
    </row>
    <row r="295" spans="1:10">
      <c r="A295" t="s">
        <v>873</v>
      </c>
      <c r="B295" s="14">
        <v>1000024286</v>
      </c>
      <c r="C295" t="s">
        <v>8</v>
      </c>
      <c r="D295" t="s">
        <v>90</v>
      </c>
      <c r="E295" t="s">
        <v>649</v>
      </c>
      <c r="F295" t="s">
        <v>6</v>
      </c>
      <c r="G295" t="s">
        <v>20</v>
      </c>
      <c r="H295" t="s">
        <v>20</v>
      </c>
      <c r="I295" t="str">
        <f t="shared" si="4"/>
        <v>MUEBLES JAMAR S. A.VANTI</v>
      </c>
      <c r="J295" t="str">
        <f>VLOOKUP(I295,[1]Base!$I:$J,2,0)</f>
        <v>Juan Carlos Pinilla</v>
      </c>
    </row>
    <row r="296" spans="1:10">
      <c r="A296" t="s">
        <v>873</v>
      </c>
      <c r="B296" s="14">
        <v>1000024286</v>
      </c>
      <c r="C296" t="s">
        <v>8</v>
      </c>
      <c r="D296" t="s">
        <v>90</v>
      </c>
      <c r="E296" t="s">
        <v>649</v>
      </c>
      <c r="F296" t="s">
        <v>12</v>
      </c>
      <c r="G296" t="s">
        <v>20</v>
      </c>
      <c r="H296" t="s">
        <v>15</v>
      </c>
      <c r="I296" t="str">
        <f t="shared" si="4"/>
        <v>MUEBLES JAMAR S. A.GNCB</v>
      </c>
      <c r="J296" t="str">
        <f>VLOOKUP(I296,[1]Base!$I:$J,2,0)</f>
        <v>Juan Carlos Pinilla</v>
      </c>
    </row>
    <row r="297" spans="1:10">
      <c r="A297" t="s">
        <v>874</v>
      </c>
      <c r="B297" s="14">
        <v>1000008666</v>
      </c>
      <c r="C297" t="s">
        <v>36</v>
      </c>
      <c r="D297" t="s">
        <v>91</v>
      </c>
      <c r="E297" t="s">
        <v>461</v>
      </c>
      <c r="F297" t="s">
        <v>17</v>
      </c>
      <c r="G297" t="s">
        <v>7</v>
      </c>
      <c r="H297" t="s">
        <v>290</v>
      </c>
      <c r="I297" t="str">
        <f t="shared" si="4"/>
        <v>Multintegral SASGNC</v>
      </c>
      <c r="J297" t="str">
        <f>VLOOKUP(I297,[1]Base!$I:$J,2,0)</f>
        <v>Lina del Mar Florez</v>
      </c>
    </row>
    <row r="298" spans="1:10">
      <c r="A298" t="s">
        <v>875</v>
      </c>
      <c r="B298" s="14">
        <v>1003012623</v>
      </c>
      <c r="C298" t="s">
        <v>5</v>
      </c>
      <c r="D298" t="s">
        <v>153</v>
      </c>
      <c r="E298" t="s">
        <v>650</v>
      </c>
      <c r="F298" t="s">
        <v>12</v>
      </c>
      <c r="G298" t="s">
        <v>336</v>
      </c>
      <c r="H298" t="s">
        <v>16</v>
      </c>
      <c r="I298" t="str">
        <f t="shared" si="4"/>
        <v>Mundo Cross Bogotá S.A.S.GNCB</v>
      </c>
      <c r="J298" t="str">
        <f>VLOOKUP(I298,[1]Base!$I:$J,2,0)</f>
        <v>Lina del Mar Florez</v>
      </c>
    </row>
    <row r="299" spans="1:10">
      <c r="A299" t="s">
        <v>875</v>
      </c>
      <c r="B299" s="14">
        <v>1003012623</v>
      </c>
      <c r="C299" t="s">
        <v>5</v>
      </c>
      <c r="D299" t="s">
        <v>220</v>
      </c>
      <c r="E299" t="s">
        <v>462</v>
      </c>
      <c r="F299" t="s">
        <v>17</v>
      </c>
      <c r="G299" t="s">
        <v>305</v>
      </c>
      <c r="H299" t="s">
        <v>290</v>
      </c>
      <c r="I299" t="str">
        <f t="shared" si="4"/>
        <v>MUNDO CROSS LTDAGNC</v>
      </c>
      <c r="J299" t="str">
        <f>VLOOKUP(I299,[1]Base!$I:$J,2,0)</f>
        <v>Lina del Mar Florez</v>
      </c>
    </row>
    <row r="300" spans="1:10">
      <c r="A300" t="s">
        <v>875</v>
      </c>
      <c r="B300" s="14">
        <v>1003012623</v>
      </c>
      <c r="C300" t="s">
        <v>5</v>
      </c>
      <c r="D300" t="s">
        <v>220</v>
      </c>
      <c r="E300" t="s">
        <v>462</v>
      </c>
      <c r="F300" t="s">
        <v>12</v>
      </c>
      <c r="G300" t="s">
        <v>305</v>
      </c>
      <c r="H300" t="s">
        <v>16</v>
      </c>
      <c r="I300" t="str">
        <f t="shared" si="4"/>
        <v>MUNDO CROSS LTDAGNCB</v>
      </c>
      <c r="J300" t="str">
        <f>VLOOKUP(I300,[1]Base!$I:$J,2,0)</f>
        <v>Lina del Mar Florez</v>
      </c>
    </row>
    <row r="301" spans="1:10">
      <c r="A301" t="s">
        <v>875</v>
      </c>
      <c r="B301" s="14">
        <v>1003012623</v>
      </c>
      <c r="C301" t="s">
        <v>5</v>
      </c>
      <c r="D301" t="s">
        <v>220</v>
      </c>
      <c r="E301" t="s">
        <v>462</v>
      </c>
      <c r="F301" t="s">
        <v>6</v>
      </c>
      <c r="G301" t="s">
        <v>305</v>
      </c>
      <c r="H301" t="s">
        <v>22</v>
      </c>
      <c r="I301" t="str">
        <f t="shared" si="4"/>
        <v>MUNDO CROSS LTDAVANTI</v>
      </c>
      <c r="J301" t="str">
        <f>VLOOKUP(I301,[1]Base!$I:$J,2,0)</f>
        <v>Juan Carlos Pinilla</v>
      </c>
    </row>
    <row r="302" spans="1:10">
      <c r="A302" t="s">
        <v>876</v>
      </c>
      <c r="B302" s="14">
        <v>1003002091</v>
      </c>
      <c r="C302" t="s">
        <v>5</v>
      </c>
      <c r="D302" t="s">
        <v>133</v>
      </c>
      <c r="E302" t="s">
        <v>651</v>
      </c>
      <c r="F302" t="s">
        <v>12</v>
      </c>
      <c r="G302" t="s">
        <v>22</v>
      </c>
      <c r="H302" t="s">
        <v>13</v>
      </c>
      <c r="I302" t="str">
        <f t="shared" si="4"/>
        <v>Mundo de La Movilidad S.A.S.GNCB</v>
      </c>
      <c r="J302" t="str">
        <f>VLOOKUP(I302,[1]Base!$I:$J,2,0)</f>
        <v>Lina del Mar Florez</v>
      </c>
    </row>
    <row r="303" spans="1:10">
      <c r="B303" s="14" t="e">
        <v>#N/A</v>
      </c>
      <c r="C303" t="s">
        <v>297</v>
      </c>
      <c r="D303" t="s">
        <v>206</v>
      </c>
      <c r="E303" t="s">
        <v>463</v>
      </c>
      <c r="F303" t="s">
        <v>12</v>
      </c>
      <c r="G303" t="s">
        <v>208</v>
      </c>
      <c r="H303" t="s">
        <v>208</v>
      </c>
      <c r="I303" t="str">
        <f t="shared" si="4"/>
        <v>N Y M CONSTRUCCIONESGNCB</v>
      </c>
      <c r="J303" t="str">
        <f>VLOOKUP(I303,[1]Base!$I:$J,2,0)</f>
        <v>Firma Instaladora</v>
      </c>
    </row>
    <row r="304" spans="1:10">
      <c r="A304" t="s">
        <v>877</v>
      </c>
      <c r="B304" s="14">
        <v>1003087191</v>
      </c>
      <c r="C304" t="s">
        <v>5</v>
      </c>
      <c r="D304" t="s">
        <v>302</v>
      </c>
      <c r="E304" t="s">
        <v>538</v>
      </c>
      <c r="F304" t="s">
        <v>6</v>
      </c>
      <c r="G304" t="s">
        <v>290</v>
      </c>
      <c r="H304" t="s">
        <v>22</v>
      </c>
      <c r="I304" t="str">
        <f t="shared" si="4"/>
        <v>NECHI MOTOS S.A.S.VANTI</v>
      </c>
      <c r="J304" t="str">
        <f>VLOOKUP(I304,[1]Base!$I:$J,2,0)</f>
        <v>Juan Carlos Pinilla</v>
      </c>
    </row>
    <row r="305" spans="1:11">
      <c r="A305" t="s">
        <v>878</v>
      </c>
      <c r="B305" s="14">
        <v>1000008205</v>
      </c>
      <c r="C305" t="s">
        <v>18</v>
      </c>
      <c r="D305" t="s">
        <v>331</v>
      </c>
      <c r="E305" t="s">
        <v>539</v>
      </c>
      <c r="F305" t="s">
        <v>12</v>
      </c>
      <c r="G305" t="s">
        <v>304</v>
      </c>
      <c r="H305" t="s">
        <v>16</v>
      </c>
      <c r="I305" t="str">
        <f t="shared" si="4"/>
        <v>OLIMPICA S.A.GNCB</v>
      </c>
      <c r="J305" t="str">
        <f>VLOOKUP(I305,[1]Base!$I:$J,2,0)</f>
        <v>Lina del Mar Florez</v>
      </c>
    </row>
    <row r="306" spans="1:11">
      <c r="B306" s="14" t="e">
        <v>#N/A</v>
      </c>
      <c r="C306" t="s">
        <v>8</v>
      </c>
      <c r="D306" t="s">
        <v>299</v>
      </c>
      <c r="E306" t="s">
        <v>540</v>
      </c>
      <c r="F306" t="s">
        <v>17</v>
      </c>
      <c r="G306" t="s">
        <v>305</v>
      </c>
      <c r="H306" t="s">
        <v>290</v>
      </c>
      <c r="I306" t="str">
        <f t="shared" si="4"/>
        <v>Orlando Donado &amp; Compañía S.A.S.GNC</v>
      </c>
      <c r="J306" t="str">
        <f>VLOOKUP(I306,[1]Base!$I:$J,2,0)</f>
        <v>Lina del Mar Florez</v>
      </c>
      <c r="K306" t="s">
        <v>208</v>
      </c>
    </row>
    <row r="307" spans="1:11">
      <c r="A307" t="s">
        <v>879</v>
      </c>
      <c r="B307" s="14">
        <v>1002953836</v>
      </c>
      <c r="C307" t="s">
        <v>5</v>
      </c>
      <c r="D307" t="s">
        <v>93</v>
      </c>
      <c r="E307" t="s">
        <v>464</v>
      </c>
      <c r="F307" s="2" t="s">
        <v>17</v>
      </c>
      <c r="G307" t="s">
        <v>16</v>
      </c>
      <c r="H307" t="s">
        <v>290</v>
      </c>
      <c r="I307" t="str">
        <f t="shared" si="4"/>
        <v>PEGO &amp; ASOCIADOS S A SGNC</v>
      </c>
      <c r="J307" t="str">
        <f>VLOOKUP(I307,[1]Base!$I:$J,2,0)</f>
        <v>Lina del Mar Florez</v>
      </c>
    </row>
    <row r="308" spans="1:11">
      <c r="A308" t="s">
        <v>879</v>
      </c>
      <c r="B308" s="14">
        <v>1002953836</v>
      </c>
      <c r="C308" t="s">
        <v>8</v>
      </c>
      <c r="D308" t="s">
        <v>93</v>
      </c>
      <c r="E308" t="s">
        <v>464</v>
      </c>
      <c r="F308" t="s">
        <v>6</v>
      </c>
      <c r="G308" t="s">
        <v>16</v>
      </c>
      <c r="H308" t="s">
        <v>22</v>
      </c>
      <c r="I308" t="str">
        <f t="shared" si="4"/>
        <v>PEGO &amp; ASOCIADOS S A SVANTI</v>
      </c>
      <c r="J308" t="str">
        <f>VLOOKUP(I308,[1]Base!$I:$J,2,0)</f>
        <v>Juan Carlos Pinilla</v>
      </c>
    </row>
    <row r="309" spans="1:11">
      <c r="A309" s="13" t="s">
        <v>701</v>
      </c>
      <c r="B309" s="14">
        <v>1003086792</v>
      </c>
      <c r="C309" t="s">
        <v>8</v>
      </c>
      <c r="D309" t="s">
        <v>244</v>
      </c>
      <c r="E309" t="s">
        <v>465</v>
      </c>
      <c r="F309" t="s">
        <v>6</v>
      </c>
      <c r="G309" t="s">
        <v>336</v>
      </c>
      <c r="H309" t="s">
        <v>336</v>
      </c>
      <c r="I309" t="str">
        <f t="shared" si="4"/>
        <v>PINTURAS DURO COLORVANTI</v>
      </c>
      <c r="J309" t="str">
        <f>VLOOKUP(I309,[1]Base!$I:$J,2,0)</f>
        <v>Juan Carlos Pinilla</v>
      </c>
      <c r="K309" t="s">
        <v>702</v>
      </c>
    </row>
    <row r="310" spans="1:11">
      <c r="A310" t="s">
        <v>880</v>
      </c>
      <c r="B310" s="14">
        <v>1003116173</v>
      </c>
      <c r="C310" t="s">
        <v>8</v>
      </c>
      <c r="D310" t="s">
        <v>303</v>
      </c>
      <c r="E310" t="s">
        <v>652</v>
      </c>
      <c r="F310" t="s">
        <v>12</v>
      </c>
      <c r="G310" t="s">
        <v>336</v>
      </c>
      <c r="H310" t="s">
        <v>16</v>
      </c>
      <c r="I310" t="str">
        <f t="shared" si="4"/>
        <v>PISOS Y ENCHAPES EUROCARIBE S.A.S.GNCB</v>
      </c>
      <c r="J310" t="str">
        <f>VLOOKUP(I310,[1]Base!$I:$J,2,0)</f>
        <v>Lina del Mar Florez</v>
      </c>
    </row>
    <row r="311" spans="1:11">
      <c r="A311" t="s">
        <v>881</v>
      </c>
      <c r="B311" s="14">
        <v>1002864593</v>
      </c>
      <c r="C311" t="s">
        <v>8</v>
      </c>
      <c r="D311" t="s">
        <v>94</v>
      </c>
      <c r="E311" t="s">
        <v>466</v>
      </c>
      <c r="F311" t="s">
        <v>17</v>
      </c>
      <c r="G311" t="s">
        <v>305</v>
      </c>
      <c r="H311" t="s">
        <v>290</v>
      </c>
      <c r="I311" t="str">
        <f t="shared" si="4"/>
        <v>PISOS Y ENCHAPES RYL SASGNC</v>
      </c>
      <c r="J311" t="str">
        <f>VLOOKUP(I311,[1]Base!$I:$J,2,0)</f>
        <v>Lina del Mar Florez</v>
      </c>
    </row>
    <row r="312" spans="1:11">
      <c r="A312" t="s">
        <v>881</v>
      </c>
      <c r="B312" s="14">
        <v>1002864593</v>
      </c>
      <c r="C312" t="s">
        <v>8</v>
      </c>
      <c r="D312" t="s">
        <v>94</v>
      </c>
      <c r="E312" t="s">
        <v>466</v>
      </c>
      <c r="F312" t="s">
        <v>6</v>
      </c>
      <c r="G312" t="s">
        <v>305</v>
      </c>
      <c r="H312" t="s">
        <v>20</v>
      </c>
      <c r="I312" t="str">
        <f t="shared" si="4"/>
        <v>PISOS Y ENCHAPES RYL SASVANTI</v>
      </c>
      <c r="J312" t="str">
        <f>VLOOKUP(I312,[1]Base!$I:$J,2,0)</f>
        <v>Juan Carlos Pinilla</v>
      </c>
    </row>
    <row r="313" spans="1:11">
      <c r="A313" t="s">
        <v>881</v>
      </c>
      <c r="B313" s="14">
        <v>1002864593</v>
      </c>
      <c r="C313" t="s">
        <v>8</v>
      </c>
      <c r="D313" t="s">
        <v>94</v>
      </c>
      <c r="E313" t="s">
        <v>466</v>
      </c>
      <c r="F313" t="s">
        <v>12</v>
      </c>
      <c r="G313" t="s">
        <v>305</v>
      </c>
      <c r="H313" t="s">
        <v>13</v>
      </c>
      <c r="I313" t="str">
        <f t="shared" si="4"/>
        <v>PISOS Y ENCHAPES RYL SASGNCB</v>
      </c>
      <c r="J313" t="str">
        <f>VLOOKUP(I313,[1]Base!$I:$J,2,0)</f>
        <v>Lina del Mar Florez</v>
      </c>
    </row>
    <row r="314" spans="1:11">
      <c r="A314" t="s">
        <v>882</v>
      </c>
      <c r="B314" s="14">
        <v>1002961590</v>
      </c>
      <c r="C314" t="s">
        <v>5</v>
      </c>
      <c r="D314" t="s">
        <v>95</v>
      </c>
      <c r="E314" t="s">
        <v>653</v>
      </c>
      <c r="F314" t="s">
        <v>12</v>
      </c>
      <c r="G314" t="s">
        <v>22</v>
      </c>
      <c r="H314" t="s">
        <v>16</v>
      </c>
      <c r="I314" t="str">
        <f t="shared" si="4"/>
        <v>Planeta Motos S.A.S.GNCB</v>
      </c>
      <c r="J314" t="str">
        <f>VLOOKUP(I314,[1]Base!$I:$J,2,0)</f>
        <v>Lina del Mar Florez</v>
      </c>
    </row>
    <row r="315" spans="1:11">
      <c r="A315" t="s">
        <v>883</v>
      </c>
      <c r="B315" s="14">
        <v>1002953178</v>
      </c>
      <c r="C315" t="s">
        <v>5</v>
      </c>
      <c r="D315" t="s">
        <v>97</v>
      </c>
      <c r="E315" t="s">
        <v>654</v>
      </c>
      <c r="F315" t="s">
        <v>6</v>
      </c>
      <c r="G315" t="s">
        <v>15</v>
      </c>
      <c r="H315" t="s">
        <v>15</v>
      </c>
      <c r="I315" t="str">
        <f t="shared" si="4"/>
        <v>PULL UP S.A.SVANTI</v>
      </c>
      <c r="J315" t="str">
        <f>VLOOKUP(I315,[1]Base!$I:$J,2,0)</f>
        <v>Juan Carlos Pinilla</v>
      </c>
    </row>
    <row r="316" spans="1:11">
      <c r="A316" t="s">
        <v>884</v>
      </c>
      <c r="B316" s="14">
        <v>1002953842</v>
      </c>
      <c r="C316" t="s">
        <v>8</v>
      </c>
      <c r="D316" t="s">
        <v>98</v>
      </c>
      <c r="E316" t="s">
        <v>655</v>
      </c>
      <c r="F316" t="s">
        <v>6</v>
      </c>
      <c r="G316" t="s">
        <v>290</v>
      </c>
      <c r="H316" t="s">
        <v>20</v>
      </c>
      <c r="I316" t="str">
        <f t="shared" si="4"/>
        <v>PUNTO CENTER S.A.SVANTI</v>
      </c>
      <c r="J316" t="str">
        <f>VLOOKUP(I316,[1]Base!$I:$J,2,0)</f>
        <v>Juan Carlos Pinilla</v>
      </c>
    </row>
    <row r="317" spans="1:11">
      <c r="A317" t="s">
        <v>885</v>
      </c>
      <c r="B317" s="14">
        <v>1002961162</v>
      </c>
      <c r="C317" t="s">
        <v>5</v>
      </c>
      <c r="D317" t="s">
        <v>99</v>
      </c>
      <c r="E317" t="s">
        <v>656</v>
      </c>
      <c r="F317" t="s">
        <v>12</v>
      </c>
      <c r="G317" t="s">
        <v>22</v>
      </c>
      <c r="H317" t="s">
        <v>16</v>
      </c>
      <c r="I317" t="str">
        <f t="shared" si="4"/>
        <v>Que Moto S.A.S.GNCB</v>
      </c>
      <c r="J317" t="str">
        <f>VLOOKUP(I317,[1]Base!$I:$J,2,0)</f>
        <v>Lina del Mar Florez</v>
      </c>
    </row>
    <row r="318" spans="1:11">
      <c r="A318" t="s">
        <v>886</v>
      </c>
      <c r="B318" s="14">
        <v>1003177433</v>
      </c>
      <c r="C318" t="s">
        <v>8</v>
      </c>
      <c r="D318" t="s">
        <v>328</v>
      </c>
      <c r="E318" t="s">
        <v>657</v>
      </c>
      <c r="F318" t="s">
        <v>12</v>
      </c>
      <c r="G318" t="s">
        <v>16</v>
      </c>
      <c r="H318" t="s">
        <v>16</v>
      </c>
      <c r="I318" t="str">
        <f t="shared" si="4"/>
        <v>REVESTIMIENTO CERAMICO DE LA SABANA S.A.S.GNCB</v>
      </c>
      <c r="J318" t="str">
        <f>VLOOKUP(I318,[1]Base!$I:$J,2,0)</f>
        <v>Lina del Mar Florez</v>
      </c>
    </row>
    <row r="319" spans="1:11">
      <c r="A319" t="s">
        <v>886</v>
      </c>
      <c r="B319" s="14">
        <v>1003177433</v>
      </c>
      <c r="C319" t="s">
        <v>8</v>
      </c>
      <c r="D319" t="s">
        <v>328</v>
      </c>
      <c r="E319" t="s">
        <v>657</v>
      </c>
      <c r="F319" t="s">
        <v>6</v>
      </c>
      <c r="G319" t="s">
        <v>16</v>
      </c>
      <c r="H319" t="s">
        <v>20</v>
      </c>
      <c r="I319" t="str">
        <f t="shared" si="4"/>
        <v>REVESTIMIENTO CERAMICO DE LA SABANA S.A.S.VANTI</v>
      </c>
      <c r="J319" t="str">
        <f>VLOOKUP(I319,[1]Base!$I:$J,2,0)</f>
        <v>Juan Carlos Pinilla</v>
      </c>
    </row>
    <row r="320" spans="1:11">
      <c r="B320" s="14" t="e">
        <v>#N/A</v>
      </c>
      <c r="C320" t="s">
        <v>254</v>
      </c>
      <c r="D320" t="s">
        <v>259</v>
      </c>
      <c r="E320" t="s">
        <v>541</v>
      </c>
      <c r="F320" t="s">
        <v>12</v>
      </c>
      <c r="G320" t="s">
        <v>254</v>
      </c>
      <c r="H320" t="s">
        <v>254</v>
      </c>
      <c r="I320" t="str">
        <f t="shared" si="4"/>
        <v>RHEEM COLOMBIA S.A.S.GNCB</v>
      </c>
      <c r="J320" t="str">
        <f>VLOOKUP(I320,[1]Base!$I:$J,2,0)</f>
        <v>Seller</v>
      </c>
    </row>
    <row r="321" spans="1:10">
      <c r="B321" s="14" t="e">
        <v>#N/A</v>
      </c>
      <c r="C321" t="s">
        <v>254</v>
      </c>
      <c r="D321" t="s">
        <v>259</v>
      </c>
      <c r="E321" t="s">
        <v>541</v>
      </c>
      <c r="F321" t="s">
        <v>6</v>
      </c>
      <c r="G321" t="s">
        <v>254</v>
      </c>
      <c r="H321" t="s">
        <v>254</v>
      </c>
      <c r="I321" t="str">
        <f t="shared" si="4"/>
        <v>RHEEM COLOMBIA S.A.S.VANTI</v>
      </c>
      <c r="J321" t="str">
        <f>VLOOKUP(I321,[1]Base!$I:$J,2,0)</f>
        <v>Seller</v>
      </c>
    </row>
    <row r="322" spans="1:10">
      <c r="B322" s="14" t="e">
        <v>#N/A</v>
      </c>
      <c r="C322" t="s">
        <v>254</v>
      </c>
      <c r="D322" t="s">
        <v>236</v>
      </c>
      <c r="E322" t="s">
        <v>467</v>
      </c>
      <c r="F322" t="s">
        <v>6</v>
      </c>
      <c r="G322" t="s">
        <v>254</v>
      </c>
      <c r="H322" t="s">
        <v>254</v>
      </c>
      <c r="I322" t="str">
        <f t="shared" si="4"/>
        <v>ROBERT BOSCH LTDAVANTI</v>
      </c>
      <c r="J322" t="str">
        <f>VLOOKUP(I322,[1]Base!$I:$J,2,0)</f>
        <v>Seller</v>
      </c>
    </row>
    <row r="323" spans="1:10">
      <c r="B323" s="14" t="e">
        <v>#N/A</v>
      </c>
      <c r="C323" t="s">
        <v>254</v>
      </c>
      <c r="D323" t="s">
        <v>236</v>
      </c>
      <c r="E323" t="s">
        <v>467</v>
      </c>
      <c r="F323" t="s">
        <v>12</v>
      </c>
      <c r="G323" t="s">
        <v>254</v>
      </c>
      <c r="H323" t="s">
        <v>254</v>
      </c>
      <c r="I323" t="str">
        <f t="shared" ref="I323:I386" si="5">D323&amp;F323</f>
        <v>ROBERT BOSCH LTDAGNCB</v>
      </c>
      <c r="J323" t="str">
        <f>VLOOKUP(I323,[1]Base!$I:$J,2,0)</f>
        <v>Seller</v>
      </c>
    </row>
    <row r="324" spans="1:10">
      <c r="A324" t="s">
        <v>887</v>
      </c>
      <c r="B324" s="14">
        <v>9010126221</v>
      </c>
      <c r="C324" t="s">
        <v>5</v>
      </c>
      <c r="D324" t="s">
        <v>218</v>
      </c>
      <c r="E324" t="s">
        <v>658</v>
      </c>
      <c r="F324" t="s">
        <v>6</v>
      </c>
      <c r="G324" t="s">
        <v>15</v>
      </c>
      <c r="H324" t="s">
        <v>15</v>
      </c>
      <c r="I324" t="str">
        <f t="shared" si="5"/>
        <v>RODDOS S.A.S.VANTI</v>
      </c>
      <c r="J324" t="str">
        <f>VLOOKUP(I324,[1]Base!$I:$J,2,0)</f>
        <v>Juan Carlos Pinilla</v>
      </c>
    </row>
    <row r="325" spans="1:10">
      <c r="A325" t="s">
        <v>887</v>
      </c>
      <c r="B325" s="14">
        <v>9010126221</v>
      </c>
      <c r="C325" t="s">
        <v>5</v>
      </c>
      <c r="D325" t="s">
        <v>218</v>
      </c>
      <c r="E325" t="s">
        <v>658</v>
      </c>
      <c r="F325" t="s">
        <v>12</v>
      </c>
      <c r="G325" t="s">
        <v>15</v>
      </c>
      <c r="H325" t="s">
        <v>16</v>
      </c>
      <c r="I325" t="str">
        <f t="shared" si="5"/>
        <v>RODDOS S.A.S.GNCB</v>
      </c>
      <c r="J325" t="str">
        <f>VLOOKUP(I325,[1]Base!$I:$J,2,0)</f>
        <v>Lina del Mar Florez</v>
      </c>
    </row>
    <row r="326" spans="1:10">
      <c r="B326" s="14" t="e">
        <v>#N/A</v>
      </c>
      <c r="C326" t="s">
        <v>297</v>
      </c>
      <c r="D326" t="s">
        <v>250</v>
      </c>
      <c r="E326" t="s">
        <v>250</v>
      </c>
      <c r="F326" t="s">
        <v>6</v>
      </c>
      <c r="G326" t="s">
        <v>208</v>
      </c>
      <c r="H326" t="s">
        <v>208</v>
      </c>
      <c r="I326" t="str">
        <f t="shared" si="5"/>
        <v>ROMEGASVANTI</v>
      </c>
      <c r="J326" t="str">
        <f>VLOOKUP(I326,[1]Base!$I:$J,2,0)</f>
        <v>Firma Instaladora</v>
      </c>
    </row>
    <row r="327" spans="1:10">
      <c r="B327" s="14" t="e">
        <v>#N/A</v>
      </c>
      <c r="C327" t="s">
        <v>297</v>
      </c>
      <c r="D327" t="s">
        <v>250</v>
      </c>
      <c r="E327" t="s">
        <v>250</v>
      </c>
      <c r="F327" t="s">
        <v>12</v>
      </c>
      <c r="G327" t="s">
        <v>208</v>
      </c>
      <c r="H327" t="s">
        <v>208</v>
      </c>
      <c r="I327" t="str">
        <f t="shared" si="5"/>
        <v>ROMEGASGNCB</v>
      </c>
      <c r="J327" t="str">
        <f>VLOOKUP(I327,[1]Base!$I:$J,2,0)</f>
        <v>Firma Instaladora</v>
      </c>
    </row>
    <row r="328" spans="1:10">
      <c r="A328" t="s">
        <v>888</v>
      </c>
      <c r="B328" s="14">
        <v>1000018903</v>
      </c>
      <c r="C328" t="s">
        <v>8</v>
      </c>
      <c r="D328" t="s">
        <v>101</v>
      </c>
      <c r="E328" t="s">
        <v>468</v>
      </c>
      <c r="F328" t="s">
        <v>6</v>
      </c>
      <c r="G328" t="s">
        <v>290</v>
      </c>
      <c r="H328" t="s">
        <v>20</v>
      </c>
      <c r="I328" t="str">
        <f t="shared" si="5"/>
        <v>Ruiz Yerena Jaime EnriqueVANTI</v>
      </c>
      <c r="J328" t="str">
        <f>VLOOKUP(I328,[1]Base!$I:$J,2,0)</f>
        <v>Juan Carlos Pinilla</v>
      </c>
    </row>
    <row r="329" spans="1:10">
      <c r="B329" s="14" t="e">
        <v>#N/A</v>
      </c>
      <c r="C329" t="s">
        <v>255</v>
      </c>
      <c r="D329" t="s">
        <v>270</v>
      </c>
      <c r="E329" t="s">
        <v>469</v>
      </c>
      <c r="F329" t="s">
        <v>6</v>
      </c>
      <c r="G329" t="s">
        <v>255</v>
      </c>
      <c r="H329" t="s">
        <v>255</v>
      </c>
      <c r="I329" t="str">
        <f t="shared" si="5"/>
        <v>SAB INVERSIONES SASVANTI</v>
      </c>
      <c r="J329" t="str">
        <f>VLOOKUP(I329,[1]Base!$I:$J,2,0)</f>
        <v>GNV</v>
      </c>
    </row>
    <row r="330" spans="1:10">
      <c r="B330" s="14" t="e">
        <v>#N/A</v>
      </c>
      <c r="C330" t="s">
        <v>255</v>
      </c>
      <c r="D330" t="s">
        <v>270</v>
      </c>
      <c r="E330" t="s">
        <v>469</v>
      </c>
      <c r="F330" t="s">
        <v>12</v>
      </c>
      <c r="G330" t="s">
        <v>255</v>
      </c>
      <c r="H330" t="s">
        <v>255</v>
      </c>
      <c r="I330" t="str">
        <f t="shared" si="5"/>
        <v>SAB INVERSIONES SASGNCB</v>
      </c>
      <c r="J330" t="str">
        <f>VLOOKUP(I330,[1]Base!$I:$J,2,0)</f>
        <v>GNV</v>
      </c>
    </row>
    <row r="331" spans="1:10">
      <c r="A331" t="s">
        <v>889</v>
      </c>
      <c r="B331" s="14">
        <v>1003016988</v>
      </c>
      <c r="C331" t="s">
        <v>5</v>
      </c>
      <c r="D331" t="s">
        <v>211</v>
      </c>
      <c r="E331" t="s">
        <v>659</v>
      </c>
      <c r="F331" t="s">
        <v>12</v>
      </c>
      <c r="G331" t="s">
        <v>15</v>
      </c>
      <c r="H331" t="s">
        <v>16</v>
      </c>
      <c r="I331" t="str">
        <f t="shared" si="5"/>
        <v>SABANA MOTOS DE COLOMBIA S.A.S.GNCB</v>
      </c>
      <c r="J331" t="str">
        <f>VLOOKUP(I331,[1]Base!$I:$J,2,0)</f>
        <v>Lina del Mar Florez</v>
      </c>
    </row>
    <row r="332" spans="1:10">
      <c r="B332" s="14" t="e">
        <v>#N/A</v>
      </c>
      <c r="C332" t="s">
        <v>255</v>
      </c>
      <c r="D332" t="s">
        <v>263</v>
      </c>
      <c r="E332" t="s">
        <v>542</v>
      </c>
      <c r="F332" t="s">
        <v>6</v>
      </c>
      <c r="G332" t="s">
        <v>255</v>
      </c>
      <c r="H332" t="s">
        <v>255</v>
      </c>
      <c r="I332" t="str">
        <f t="shared" si="5"/>
        <v>Seguros Generales Suramericana S.A. VANTI</v>
      </c>
      <c r="J332" t="str">
        <f>VLOOKUP(I332,[1]Base!$I:$J,2,0)</f>
        <v>GNV</v>
      </c>
    </row>
    <row r="333" spans="1:10">
      <c r="B333" s="14" t="e">
        <v>#N/A</v>
      </c>
      <c r="C333" t="s">
        <v>297</v>
      </c>
      <c r="D333" t="s">
        <v>296</v>
      </c>
      <c r="E333" t="s">
        <v>470</v>
      </c>
      <c r="F333" t="s">
        <v>6</v>
      </c>
      <c r="G333" t="s">
        <v>208</v>
      </c>
      <c r="H333" t="s">
        <v>208</v>
      </c>
      <c r="I333" t="str">
        <f t="shared" si="5"/>
        <v>Sergas Colombia SASVANTI</v>
      </c>
      <c r="J333" t="str">
        <f>VLOOKUP(I333,[1]Base!$I:$J,2,0)</f>
        <v>Firma Instaladora</v>
      </c>
    </row>
    <row r="334" spans="1:10">
      <c r="B334" s="14" t="e">
        <v>#N/A</v>
      </c>
      <c r="C334" t="s">
        <v>297</v>
      </c>
      <c r="D334" t="s">
        <v>296</v>
      </c>
      <c r="E334" t="s">
        <v>470</v>
      </c>
      <c r="F334" t="s">
        <v>12</v>
      </c>
      <c r="G334" t="s">
        <v>208</v>
      </c>
      <c r="H334" t="s">
        <v>208</v>
      </c>
      <c r="I334" t="str">
        <f t="shared" si="5"/>
        <v>Sergas Colombia SASGNCB</v>
      </c>
      <c r="J334" t="str">
        <f>VLOOKUP(I334,[1]Base!$I:$J,2,0)</f>
        <v>Firma Instaladora</v>
      </c>
    </row>
    <row r="335" spans="1:10">
      <c r="B335" s="14" t="e">
        <v>#N/A</v>
      </c>
      <c r="C335" t="s">
        <v>297</v>
      </c>
      <c r="D335" t="s">
        <v>296</v>
      </c>
      <c r="E335" t="s">
        <v>470</v>
      </c>
      <c r="F335" t="s">
        <v>17</v>
      </c>
      <c r="G335" t="s">
        <v>208</v>
      </c>
      <c r="H335" t="s">
        <v>208</v>
      </c>
      <c r="I335" t="str">
        <f t="shared" si="5"/>
        <v>Sergas Colombia SASGNC</v>
      </c>
      <c r="J335" t="str">
        <f>VLOOKUP(I335,[1]Base!$I:$J,2,0)</f>
        <v>Firma Instaladora</v>
      </c>
    </row>
    <row r="336" spans="1:10">
      <c r="A336" t="s">
        <v>890</v>
      </c>
      <c r="B336" s="14">
        <v>1003012625</v>
      </c>
      <c r="C336" t="s">
        <v>5</v>
      </c>
      <c r="D336" t="s">
        <v>165</v>
      </c>
      <c r="E336" t="s">
        <v>660</v>
      </c>
      <c r="F336" t="s">
        <v>12</v>
      </c>
      <c r="G336" t="s">
        <v>13</v>
      </c>
      <c r="H336" t="s">
        <v>13</v>
      </c>
      <c r="I336" t="str">
        <f t="shared" si="5"/>
        <v>SERVIAUTECH ORIENTE S.A.S.GNCB</v>
      </c>
      <c r="J336" t="str">
        <f>VLOOKUP(I336,[1]Base!$I:$J,2,0)</f>
        <v>Lina del Mar Florez</v>
      </c>
    </row>
    <row r="337" spans="1:10">
      <c r="B337" s="14" t="e">
        <v>#N/A</v>
      </c>
      <c r="C337" t="s">
        <v>255</v>
      </c>
      <c r="D337" t="s">
        <v>269</v>
      </c>
      <c r="E337" t="s">
        <v>471</v>
      </c>
      <c r="F337" t="s">
        <v>6</v>
      </c>
      <c r="G337" t="s">
        <v>255</v>
      </c>
      <c r="H337" t="s">
        <v>255</v>
      </c>
      <c r="I337" t="str">
        <f t="shared" si="5"/>
        <v>SERVIGAS GNV LTDAVANTI</v>
      </c>
      <c r="J337" t="str">
        <f>VLOOKUP(I337,[1]Base!$I:$J,2,0)</f>
        <v>GNV</v>
      </c>
    </row>
    <row r="338" spans="1:10">
      <c r="B338" s="14" t="e">
        <v>#N/A</v>
      </c>
      <c r="C338" t="s">
        <v>255</v>
      </c>
      <c r="D338" t="s">
        <v>272</v>
      </c>
      <c r="E338" t="s">
        <v>472</v>
      </c>
      <c r="F338" t="s">
        <v>6</v>
      </c>
      <c r="G338" t="s">
        <v>255</v>
      </c>
      <c r="H338" t="s">
        <v>255</v>
      </c>
      <c r="I338" t="str">
        <f t="shared" si="5"/>
        <v>SERVIGAS QUIROGA GNV LTDAVANTI</v>
      </c>
      <c r="J338" t="str">
        <f>VLOOKUP(I338,[1]Base!$I:$J,2,0)</f>
        <v>GNV</v>
      </c>
    </row>
    <row r="339" spans="1:10">
      <c r="B339" s="14" t="e">
        <v>#N/A</v>
      </c>
      <c r="C339" t="s">
        <v>297</v>
      </c>
      <c r="D339" t="s">
        <v>188</v>
      </c>
      <c r="E339" t="s">
        <v>473</v>
      </c>
      <c r="F339" t="s">
        <v>6</v>
      </c>
      <c r="G339" t="s">
        <v>208</v>
      </c>
      <c r="H339" t="s">
        <v>208</v>
      </c>
      <c r="I339" t="str">
        <f t="shared" si="5"/>
        <v>SERVOBRAS LTDAVANTI</v>
      </c>
      <c r="J339" t="str">
        <f>VLOOKUP(I339,[1]Base!$I:$J,2,0)</f>
        <v>Firma Instaladora</v>
      </c>
    </row>
    <row r="340" spans="1:10">
      <c r="B340" s="14" t="e">
        <v>#N/A</v>
      </c>
      <c r="C340" t="s">
        <v>297</v>
      </c>
      <c r="D340" t="s">
        <v>197</v>
      </c>
      <c r="E340" t="s">
        <v>474</v>
      </c>
      <c r="F340" t="s">
        <v>6</v>
      </c>
      <c r="G340" t="s">
        <v>208</v>
      </c>
      <c r="H340" t="s">
        <v>208</v>
      </c>
      <c r="I340" t="str">
        <f t="shared" si="5"/>
        <v>SG 3A GAS DE COLOMBIA SASVANTI</v>
      </c>
      <c r="J340" t="str">
        <f>VLOOKUP(I340,[1]Base!$I:$J,2,0)</f>
        <v>Firma Instaladora</v>
      </c>
    </row>
    <row r="341" spans="1:10">
      <c r="A341" t="s">
        <v>891</v>
      </c>
      <c r="B341" s="14">
        <v>1002981513</v>
      </c>
      <c r="C341" t="s">
        <v>8</v>
      </c>
      <c r="D341" t="s">
        <v>127</v>
      </c>
      <c r="E341" t="s">
        <v>475</v>
      </c>
      <c r="F341" t="s">
        <v>12</v>
      </c>
      <c r="G341" t="s">
        <v>20</v>
      </c>
      <c r="H341" t="s">
        <v>13</v>
      </c>
      <c r="I341" t="str">
        <f t="shared" si="5"/>
        <v>SHAHARIT S A SGNCB</v>
      </c>
      <c r="J341" t="str">
        <f>VLOOKUP(I341,[1]Base!$I:$J,2,0)</f>
        <v>Lina del Mar Florez</v>
      </c>
    </row>
    <row r="342" spans="1:10">
      <c r="A342" t="s">
        <v>892</v>
      </c>
      <c r="B342" s="14">
        <v>1002999728</v>
      </c>
      <c r="C342" t="s">
        <v>5</v>
      </c>
      <c r="D342" t="s">
        <v>131</v>
      </c>
      <c r="E342" t="s">
        <v>661</v>
      </c>
      <c r="F342" t="s">
        <v>6</v>
      </c>
      <c r="G342" t="s">
        <v>15</v>
      </c>
      <c r="H342" t="s">
        <v>15</v>
      </c>
      <c r="I342" t="str">
        <f t="shared" si="5"/>
        <v>Simotos S.A.S.VANTI</v>
      </c>
      <c r="J342" t="str">
        <f>VLOOKUP(I342,[1]Base!$I:$J,2,0)</f>
        <v>Juan Carlos Pinilla</v>
      </c>
    </row>
    <row r="343" spans="1:10">
      <c r="A343" t="s">
        <v>892</v>
      </c>
      <c r="B343" s="14">
        <v>1002999728</v>
      </c>
      <c r="C343" t="s">
        <v>5</v>
      </c>
      <c r="D343" t="s">
        <v>131</v>
      </c>
      <c r="E343" t="s">
        <v>661</v>
      </c>
      <c r="F343" t="s">
        <v>12</v>
      </c>
      <c r="G343" t="s">
        <v>15</v>
      </c>
      <c r="H343" t="s">
        <v>16</v>
      </c>
      <c r="I343" t="str">
        <f t="shared" si="5"/>
        <v>Simotos S.A.S.GNCB</v>
      </c>
      <c r="J343" t="str">
        <f>VLOOKUP(I343,[1]Base!$I:$J,2,0)</f>
        <v>Lina del Mar Florez</v>
      </c>
    </row>
    <row r="344" spans="1:10">
      <c r="B344" s="14" t="e">
        <v>#N/A</v>
      </c>
      <c r="C344" t="s">
        <v>297</v>
      </c>
      <c r="D344" t="s">
        <v>185</v>
      </c>
      <c r="E344" t="s">
        <v>543</v>
      </c>
      <c r="F344" t="s">
        <v>12</v>
      </c>
      <c r="G344" t="s">
        <v>208</v>
      </c>
      <c r="H344" t="s">
        <v>208</v>
      </c>
      <c r="I344" t="str">
        <f t="shared" si="5"/>
        <v>SISTEMAS Y SERVICIOS GAS NATURAL S.A.SGNCB</v>
      </c>
      <c r="J344" t="str">
        <f>VLOOKUP(I344,[1]Base!$I:$J,2,0)</f>
        <v>Firma Instaladora</v>
      </c>
    </row>
    <row r="345" spans="1:10">
      <c r="B345" s="14" t="e">
        <v>#N/A</v>
      </c>
      <c r="C345" t="s">
        <v>297</v>
      </c>
      <c r="D345" t="s">
        <v>205</v>
      </c>
      <c r="E345" t="s">
        <v>476</v>
      </c>
      <c r="F345" t="s">
        <v>12</v>
      </c>
      <c r="G345" t="s">
        <v>208</v>
      </c>
      <c r="H345" t="s">
        <v>208</v>
      </c>
      <c r="I345" t="str">
        <f t="shared" si="5"/>
        <v>SM ELECTRONISCSGNCB</v>
      </c>
      <c r="J345" t="str">
        <f>VLOOKUP(I345,[1]Base!$I:$J,2,0)</f>
        <v>Firma Instaladora</v>
      </c>
    </row>
    <row r="346" spans="1:10">
      <c r="B346" s="14" t="e">
        <v>#N/A</v>
      </c>
      <c r="C346" t="s">
        <v>297</v>
      </c>
      <c r="D346" t="s">
        <v>183</v>
      </c>
      <c r="E346" t="s">
        <v>544</v>
      </c>
      <c r="F346" t="s">
        <v>12</v>
      </c>
      <c r="G346" t="s">
        <v>208</v>
      </c>
      <c r="H346" t="s">
        <v>208</v>
      </c>
      <c r="I346" t="str">
        <f t="shared" si="5"/>
        <v>SM SERVICIOS GAS NATURAL S.A.S.GNCB</v>
      </c>
      <c r="J346" t="str">
        <f>VLOOKUP(I346,[1]Base!$I:$J,2,0)</f>
        <v>Firma Instaladora</v>
      </c>
    </row>
    <row r="347" spans="1:10">
      <c r="A347" t="s">
        <v>893</v>
      </c>
      <c r="B347" s="14">
        <v>1000008288</v>
      </c>
      <c r="C347" t="s">
        <v>8</v>
      </c>
      <c r="D347" t="s">
        <v>332</v>
      </c>
      <c r="E347" t="s">
        <v>662</v>
      </c>
      <c r="F347" t="s">
        <v>6</v>
      </c>
      <c r="G347" t="s">
        <v>336</v>
      </c>
      <c r="H347" t="s">
        <v>336</v>
      </c>
      <c r="I347" t="str">
        <f t="shared" si="5"/>
        <v>SOCODA S.A.S.VANTI</v>
      </c>
      <c r="J347" t="str">
        <f>VLOOKUP(I347,[1]Base!$I:$J,2,0)</f>
        <v>Juan Carlos Pinilla</v>
      </c>
    </row>
    <row r="348" spans="1:10">
      <c r="A348" t="s">
        <v>894</v>
      </c>
      <c r="B348" s="14">
        <v>1000007614</v>
      </c>
      <c r="C348" t="s">
        <v>18</v>
      </c>
      <c r="D348" t="s">
        <v>251</v>
      </c>
      <c r="E348" t="s">
        <v>477</v>
      </c>
      <c r="F348" t="s">
        <v>17</v>
      </c>
      <c r="G348" t="s">
        <v>252</v>
      </c>
      <c r="H348" t="s">
        <v>290</v>
      </c>
      <c r="I348" t="str">
        <f t="shared" si="5"/>
        <v>SODIMAC COLOMBIA SAGNC</v>
      </c>
      <c r="J348" t="str">
        <f>VLOOKUP(I348,[1]Base!$I:$J,2,0)</f>
        <v>Lina del Mar Florez</v>
      </c>
    </row>
    <row r="349" spans="1:10">
      <c r="A349" t="s">
        <v>895</v>
      </c>
      <c r="B349" s="14">
        <v>1000403382</v>
      </c>
      <c r="C349" t="s">
        <v>8</v>
      </c>
      <c r="D349" t="s">
        <v>102</v>
      </c>
      <c r="E349" t="s">
        <v>478</v>
      </c>
      <c r="F349" t="s">
        <v>6</v>
      </c>
      <c r="G349" t="s">
        <v>13</v>
      </c>
      <c r="H349" t="s">
        <v>20</v>
      </c>
      <c r="I349" t="str">
        <f t="shared" si="5"/>
        <v>SOELCO SASVANTI</v>
      </c>
      <c r="J349" t="str">
        <f>VLOOKUP(I349,[1]Base!$I:$J,2,0)</f>
        <v>Juan Carlos Pinilla</v>
      </c>
    </row>
    <row r="350" spans="1:10">
      <c r="A350" t="s">
        <v>896</v>
      </c>
      <c r="B350" s="14" t="s">
        <v>951</v>
      </c>
      <c r="C350" t="s">
        <v>5</v>
      </c>
      <c r="D350" t="s">
        <v>223</v>
      </c>
      <c r="E350" t="s">
        <v>545</v>
      </c>
      <c r="F350" t="s">
        <v>6</v>
      </c>
      <c r="G350" t="s">
        <v>305</v>
      </c>
      <c r="H350" t="s">
        <v>22</v>
      </c>
      <c r="I350" t="str">
        <f t="shared" si="5"/>
        <v>Son Motos S.A.S.VANTI</v>
      </c>
      <c r="J350" t="str">
        <f>VLOOKUP(I350,[1]Base!$I:$J,2,0)</f>
        <v>Juan Carlos Pinilla</v>
      </c>
    </row>
    <row r="351" spans="1:10">
      <c r="A351" t="s">
        <v>897</v>
      </c>
      <c r="B351" s="14">
        <v>1003013223</v>
      </c>
      <c r="C351" t="s">
        <v>5</v>
      </c>
      <c r="D351" t="s">
        <v>138</v>
      </c>
      <c r="E351" t="s">
        <v>663</v>
      </c>
      <c r="F351" t="s">
        <v>12</v>
      </c>
      <c r="G351" t="s">
        <v>22</v>
      </c>
      <c r="H351" t="s">
        <v>16</v>
      </c>
      <c r="I351" t="str">
        <f t="shared" si="5"/>
        <v>Sport Motos Company S.A.S.GNCB</v>
      </c>
      <c r="J351" t="str">
        <f>VLOOKUP(I351,[1]Base!$I:$J,2,0)</f>
        <v>Lina del Mar Florez</v>
      </c>
    </row>
    <row r="352" spans="1:10">
      <c r="A352" t="s">
        <v>898</v>
      </c>
      <c r="B352" s="14">
        <v>1003019369</v>
      </c>
      <c r="C352" t="s">
        <v>5</v>
      </c>
      <c r="D352" t="s">
        <v>160</v>
      </c>
      <c r="E352" t="s">
        <v>664</v>
      </c>
      <c r="F352" t="s">
        <v>6</v>
      </c>
      <c r="G352" t="s">
        <v>305</v>
      </c>
      <c r="H352" t="s">
        <v>22</v>
      </c>
      <c r="I352" t="str">
        <f t="shared" si="5"/>
        <v>SU MOTO DEL MAGDALENA S.A.SVANTI</v>
      </c>
      <c r="J352" t="str">
        <f>VLOOKUP(I352,[1]Base!$I:$J,2,0)</f>
        <v>Juan Carlos Pinilla</v>
      </c>
    </row>
    <row r="353" spans="1:11">
      <c r="A353" t="s">
        <v>898</v>
      </c>
      <c r="B353" s="14">
        <v>1003019369</v>
      </c>
      <c r="C353" t="s">
        <v>5</v>
      </c>
      <c r="D353" t="s">
        <v>160</v>
      </c>
      <c r="E353" t="s">
        <v>664</v>
      </c>
      <c r="F353" t="s">
        <v>17</v>
      </c>
      <c r="G353" t="s">
        <v>305</v>
      </c>
      <c r="H353" t="s">
        <v>290</v>
      </c>
      <c r="I353" t="str">
        <f t="shared" si="5"/>
        <v>SU MOTO DEL MAGDALENA S.A.SGNC</v>
      </c>
      <c r="J353" t="str">
        <f>VLOOKUP(I353,[1]Base!$I:$J,2,0)</f>
        <v>Lina del Mar Florez</v>
      </c>
    </row>
    <row r="354" spans="1:11">
      <c r="A354" t="s">
        <v>899</v>
      </c>
      <c r="B354" s="14">
        <v>1002958317</v>
      </c>
      <c r="C354" t="s">
        <v>8</v>
      </c>
      <c r="D354" t="s">
        <v>103</v>
      </c>
      <c r="E354" t="s">
        <v>665</v>
      </c>
      <c r="F354" t="s">
        <v>6</v>
      </c>
      <c r="G354" t="s">
        <v>336</v>
      </c>
      <c r="H354" t="s">
        <v>336</v>
      </c>
      <c r="I354" t="str">
        <f t="shared" si="5"/>
        <v>SUEÑOS Y CONFORT S.A.SVANTI</v>
      </c>
      <c r="J354" t="str">
        <f>VLOOKUP(I354,[1]Base!$I:$J,2,0)</f>
        <v>Juan Carlos Pinilla</v>
      </c>
    </row>
    <row r="355" spans="1:11">
      <c r="A355" t="s">
        <v>900</v>
      </c>
      <c r="B355" s="14">
        <v>1003132645</v>
      </c>
      <c r="C355" t="s">
        <v>8</v>
      </c>
      <c r="D355" t="s">
        <v>307</v>
      </c>
      <c r="E355" t="s">
        <v>666</v>
      </c>
      <c r="F355" t="s">
        <v>6</v>
      </c>
      <c r="G355" t="s">
        <v>336</v>
      </c>
      <c r="H355" t="s">
        <v>336</v>
      </c>
      <c r="I355" t="str">
        <f t="shared" si="5"/>
        <v>SUPER ELECTRO ORIENTE S.A.S.VANTI</v>
      </c>
      <c r="J355" t="str">
        <f>VLOOKUP(I355,[1]Base!$I:$J,2,0)</f>
        <v>Juan Carlos Pinilla</v>
      </c>
    </row>
    <row r="356" spans="1:11">
      <c r="A356" t="s">
        <v>900</v>
      </c>
      <c r="B356" s="14">
        <v>1003132645</v>
      </c>
      <c r="C356" t="s">
        <v>8</v>
      </c>
      <c r="D356" t="s">
        <v>307</v>
      </c>
      <c r="E356" t="s">
        <v>666</v>
      </c>
      <c r="F356" t="s">
        <v>12</v>
      </c>
      <c r="G356" t="s">
        <v>336</v>
      </c>
      <c r="H356" t="s">
        <v>16</v>
      </c>
      <c r="I356" t="str">
        <f t="shared" si="5"/>
        <v>SUPER ELECTRO ORIENTE S.A.S.GNCB</v>
      </c>
      <c r="J356" t="str">
        <f>VLOOKUP(I356,[1]Base!$I:$J,2,0)</f>
        <v>Lina del Mar Florez</v>
      </c>
    </row>
    <row r="357" spans="1:11">
      <c r="B357" s="14" t="e">
        <v>#N/A</v>
      </c>
      <c r="C357" t="s">
        <v>255</v>
      </c>
      <c r="D357" t="s">
        <v>276</v>
      </c>
      <c r="E357" t="s">
        <v>479</v>
      </c>
      <c r="F357" t="s">
        <v>6</v>
      </c>
      <c r="G357" t="s">
        <v>255</v>
      </c>
      <c r="H357" t="s">
        <v>255</v>
      </c>
      <c r="I357" t="str">
        <f t="shared" si="5"/>
        <v>SURAGAS SASVANTI</v>
      </c>
      <c r="J357" t="str">
        <f>VLOOKUP(I357,[1]Base!$I:$J,2,0)</f>
        <v>GNV</v>
      </c>
    </row>
    <row r="358" spans="1:11">
      <c r="B358" s="14" t="e">
        <v>#N/A</v>
      </c>
      <c r="C358" t="s">
        <v>255</v>
      </c>
      <c r="D358" t="s">
        <v>271</v>
      </c>
      <c r="E358" t="s">
        <v>480</v>
      </c>
      <c r="F358" t="s">
        <v>6</v>
      </c>
      <c r="G358" t="s">
        <v>255</v>
      </c>
      <c r="H358" t="s">
        <v>255</v>
      </c>
      <c r="I358" t="str">
        <f t="shared" si="5"/>
        <v>TALLER AAA GAS SASVANTI</v>
      </c>
      <c r="J358" t="str">
        <f>VLOOKUP(I358,[1]Base!$I:$J,2,0)</f>
        <v>GNV</v>
      </c>
    </row>
    <row r="359" spans="1:11">
      <c r="B359" s="14" t="e">
        <v>#N/A</v>
      </c>
      <c r="C359" t="s">
        <v>255</v>
      </c>
      <c r="D359" t="s">
        <v>271</v>
      </c>
      <c r="E359" t="s">
        <v>480</v>
      </c>
      <c r="F359" t="s">
        <v>12</v>
      </c>
      <c r="G359" t="s">
        <v>255</v>
      </c>
      <c r="H359" t="s">
        <v>255</v>
      </c>
      <c r="I359" t="str">
        <f t="shared" si="5"/>
        <v>TALLER AAA GAS SASGNCB</v>
      </c>
      <c r="J359" t="str">
        <f>VLOOKUP(I359,[1]Base!$I:$J,2,0)</f>
        <v>GNV</v>
      </c>
    </row>
    <row r="360" spans="1:11">
      <c r="B360" s="14" t="e">
        <v>#N/A</v>
      </c>
      <c r="C360" t="s">
        <v>255</v>
      </c>
      <c r="D360" t="s">
        <v>248</v>
      </c>
      <c r="E360" t="s">
        <v>481</v>
      </c>
      <c r="F360" t="s">
        <v>6</v>
      </c>
      <c r="G360" t="s">
        <v>255</v>
      </c>
      <c r="H360" t="s">
        <v>255</v>
      </c>
      <c r="I360" t="str">
        <f t="shared" si="5"/>
        <v>TALLER DE CONVERSION VEHICOLGAS SASVANTI</v>
      </c>
      <c r="J360" t="str">
        <f>VLOOKUP(I360,[1]Base!$I:$J,2,0)</f>
        <v>GNV</v>
      </c>
    </row>
    <row r="361" spans="1:11">
      <c r="B361" s="14" t="e">
        <v>#N/A</v>
      </c>
      <c r="C361" t="s">
        <v>255</v>
      </c>
      <c r="D361" t="s">
        <v>248</v>
      </c>
      <c r="E361" t="s">
        <v>481</v>
      </c>
      <c r="F361" t="s">
        <v>12</v>
      </c>
      <c r="G361" t="s">
        <v>255</v>
      </c>
      <c r="H361" t="s">
        <v>255</v>
      </c>
      <c r="I361" t="str">
        <f t="shared" si="5"/>
        <v>TALLER DE CONVERSION VEHICOLGAS SASGNCB</v>
      </c>
      <c r="J361" t="str">
        <f>VLOOKUP(I361,[1]Base!$I:$J,2,0)</f>
        <v>GNV</v>
      </c>
    </row>
    <row r="362" spans="1:11">
      <c r="A362" t="s">
        <v>901</v>
      </c>
      <c r="B362" s="14">
        <v>1002893226</v>
      </c>
      <c r="C362" t="s">
        <v>36</v>
      </c>
      <c r="D362" t="s">
        <v>168</v>
      </c>
      <c r="E362" t="s">
        <v>482</v>
      </c>
      <c r="F362" t="s">
        <v>17</v>
      </c>
      <c r="G362" t="s">
        <v>7</v>
      </c>
      <c r="H362" t="s">
        <v>290</v>
      </c>
      <c r="I362" t="str">
        <f t="shared" si="5"/>
        <v>TECH RED SASGNC</v>
      </c>
      <c r="J362" t="str">
        <f>VLOOKUP(I362,[1]Base!$I:$J,2,0)</f>
        <v>Lina del Mar Florez</v>
      </c>
    </row>
    <row r="363" spans="1:11">
      <c r="A363">
        <v>900617484</v>
      </c>
      <c r="B363" s="14">
        <v>1003012626</v>
      </c>
      <c r="C363" t="s">
        <v>8</v>
      </c>
      <c r="D363" t="s">
        <v>258</v>
      </c>
      <c r="E363" t="s">
        <v>483</v>
      </c>
      <c r="F363" t="s">
        <v>12</v>
      </c>
      <c r="G363" t="s">
        <v>16</v>
      </c>
      <c r="H363" t="s">
        <v>16</v>
      </c>
      <c r="I363" t="str">
        <f t="shared" si="5"/>
        <v>TECNICENTROS ER SASGNCB</v>
      </c>
      <c r="J363" t="str">
        <f>VLOOKUP(I363,[1]Base!$I:$J,2,0)</f>
        <v>Lina del Mar Florez</v>
      </c>
    </row>
    <row r="364" spans="1:11">
      <c r="A364">
        <v>900617484</v>
      </c>
      <c r="B364" s="14">
        <v>1003012626</v>
      </c>
      <c r="C364" t="s">
        <v>8</v>
      </c>
      <c r="D364" t="s">
        <v>258</v>
      </c>
      <c r="E364" t="s">
        <v>483</v>
      </c>
      <c r="F364" t="s">
        <v>6</v>
      </c>
      <c r="G364" t="s">
        <v>16</v>
      </c>
      <c r="H364" t="s">
        <v>15</v>
      </c>
      <c r="I364" t="str">
        <f t="shared" si="5"/>
        <v>TECNICENTROS ER SASVANTI</v>
      </c>
      <c r="J364" t="str">
        <f>VLOOKUP(I364,[1]Base!$I:$J,2,0)</f>
        <v>Juan Carlos Pinilla</v>
      </c>
    </row>
    <row r="365" spans="1:11">
      <c r="A365">
        <v>900617484</v>
      </c>
      <c r="B365" s="14">
        <v>1003012626</v>
      </c>
      <c r="C365" t="s">
        <v>8</v>
      </c>
      <c r="D365" t="s">
        <v>151</v>
      </c>
      <c r="E365" t="s">
        <v>484</v>
      </c>
      <c r="F365" t="s">
        <v>6</v>
      </c>
      <c r="G365" t="s">
        <v>16</v>
      </c>
      <c r="H365" t="s">
        <v>15</v>
      </c>
      <c r="I365" t="str">
        <f t="shared" si="5"/>
        <v>TENICENTROS ER SASVANTI</v>
      </c>
      <c r="J365" t="str">
        <f>VLOOKUP(I365,[1]Base!$I:$J,2,0)</f>
        <v>Juan Carlos Pinilla</v>
      </c>
      <c r="K365" t="s">
        <v>208</v>
      </c>
    </row>
    <row r="366" spans="1:11">
      <c r="A366">
        <v>900617484</v>
      </c>
      <c r="B366" s="14">
        <v>1003012626</v>
      </c>
      <c r="C366" t="s">
        <v>8</v>
      </c>
      <c r="D366" t="s">
        <v>151</v>
      </c>
      <c r="E366" t="s">
        <v>484</v>
      </c>
      <c r="F366" t="s">
        <v>12</v>
      </c>
      <c r="G366" t="s">
        <v>16</v>
      </c>
      <c r="H366" t="s">
        <v>16</v>
      </c>
      <c r="I366" t="str">
        <f t="shared" si="5"/>
        <v>TENICENTROS ER SASGNCB</v>
      </c>
      <c r="J366" t="str">
        <f>VLOOKUP(I366,[1]Base!$I:$J,2,0)</f>
        <v>Lina del Mar Florez</v>
      </c>
      <c r="K366" t="s">
        <v>208</v>
      </c>
    </row>
    <row r="367" spans="1:11">
      <c r="A367" t="s">
        <v>690</v>
      </c>
      <c r="B367" s="14">
        <v>1002951788</v>
      </c>
      <c r="C367" t="s">
        <v>5</v>
      </c>
      <c r="D367" t="s">
        <v>310</v>
      </c>
      <c r="E367" t="s">
        <v>667</v>
      </c>
      <c r="F367" t="s">
        <v>6</v>
      </c>
      <c r="G367" t="s">
        <v>290</v>
      </c>
      <c r="H367" t="s">
        <v>15</v>
      </c>
      <c r="I367" t="str">
        <f t="shared" si="5"/>
        <v>TODOMOTOS VS S.A.S.VANTI</v>
      </c>
      <c r="J367" t="str">
        <f>VLOOKUP(I367,[1]Base!$I:$J,2,0)</f>
        <v>Juan Carlos Pinilla</v>
      </c>
    </row>
    <row r="368" spans="1:11">
      <c r="A368" t="s">
        <v>902</v>
      </c>
      <c r="B368" s="14">
        <v>1002954270</v>
      </c>
      <c r="C368" t="s">
        <v>5</v>
      </c>
      <c r="D368" t="s">
        <v>104</v>
      </c>
      <c r="E368" t="s">
        <v>668</v>
      </c>
      <c r="F368" t="s">
        <v>6</v>
      </c>
      <c r="G368" t="s">
        <v>22</v>
      </c>
      <c r="H368" t="s">
        <v>22</v>
      </c>
      <c r="I368" t="str">
        <f t="shared" si="5"/>
        <v>Toma Tu Moto S.A.S.VANTI</v>
      </c>
      <c r="J368" t="str">
        <f>VLOOKUP(I368,[1]Base!$I:$J,2,0)</f>
        <v>Juan Carlos Pinilla</v>
      </c>
    </row>
    <row r="369" spans="1:10">
      <c r="B369" s="14" t="e">
        <v>#N/A</v>
      </c>
      <c r="C369" t="s">
        <v>297</v>
      </c>
      <c r="D369" t="s">
        <v>202</v>
      </c>
      <c r="E369" t="s">
        <v>485</v>
      </c>
      <c r="F369" t="s">
        <v>6</v>
      </c>
      <c r="G369" t="s">
        <v>208</v>
      </c>
      <c r="H369" t="s">
        <v>208</v>
      </c>
      <c r="I369" t="str">
        <f t="shared" si="5"/>
        <v>TOQUE DE HOGAR SASVANTI</v>
      </c>
      <c r="J369" t="str">
        <f>VLOOKUP(I369,[1]Base!$I:$J,2,0)</f>
        <v>Firma Instaladora</v>
      </c>
    </row>
    <row r="370" spans="1:10">
      <c r="B370" s="14" t="e">
        <v>#N/A</v>
      </c>
      <c r="C370" t="s">
        <v>297</v>
      </c>
      <c r="D370" t="s">
        <v>202</v>
      </c>
      <c r="E370" t="s">
        <v>485</v>
      </c>
      <c r="F370" t="s">
        <v>12</v>
      </c>
      <c r="G370" t="s">
        <v>208</v>
      </c>
      <c r="H370" t="s">
        <v>208</v>
      </c>
      <c r="I370" t="str">
        <f t="shared" si="5"/>
        <v>TOQUE DE HOGAR SASGNCB</v>
      </c>
      <c r="J370" t="str">
        <f>VLOOKUP(I370,[1]Base!$I:$J,2,0)</f>
        <v>Firma Instaladora</v>
      </c>
    </row>
    <row r="371" spans="1:10">
      <c r="A371" t="s">
        <v>903</v>
      </c>
      <c r="B371" s="14">
        <v>1002888649</v>
      </c>
      <c r="C371" t="s">
        <v>36</v>
      </c>
      <c r="D371" t="s">
        <v>105</v>
      </c>
      <c r="E371" t="s">
        <v>486</v>
      </c>
      <c r="F371" t="s">
        <v>12</v>
      </c>
      <c r="G371" t="s">
        <v>7</v>
      </c>
      <c r="H371" t="s">
        <v>16</v>
      </c>
      <c r="I371" t="str">
        <f t="shared" si="5"/>
        <v>TU MEJOR OFERTA SASGNCB</v>
      </c>
      <c r="J371" t="str">
        <f>VLOOKUP(I371,[1]Base!$I:$J,2,0)</f>
        <v>Lina del Mar Florez</v>
      </c>
    </row>
    <row r="372" spans="1:10">
      <c r="A372" t="s">
        <v>904</v>
      </c>
      <c r="B372" s="14">
        <v>1002960622</v>
      </c>
      <c r="C372" t="s">
        <v>5</v>
      </c>
      <c r="D372" t="s">
        <v>124</v>
      </c>
      <c r="E372" t="s">
        <v>669</v>
      </c>
      <c r="F372" t="s">
        <v>6</v>
      </c>
      <c r="G372" t="s">
        <v>15</v>
      </c>
      <c r="H372" t="s">
        <v>15</v>
      </c>
      <c r="I372" t="str">
        <f t="shared" si="5"/>
        <v>Turbo Partes Diesel S.A.S.VANTI</v>
      </c>
      <c r="J372" t="str">
        <f>VLOOKUP(I372,[1]Base!$I:$J,2,0)</f>
        <v>Juan Carlos Pinilla</v>
      </c>
    </row>
    <row r="373" spans="1:10">
      <c r="A373" t="s">
        <v>905</v>
      </c>
      <c r="B373" s="14">
        <v>1002920092</v>
      </c>
      <c r="C373" t="s">
        <v>8</v>
      </c>
      <c r="D373" t="s">
        <v>106</v>
      </c>
      <c r="E373" t="s">
        <v>670</v>
      </c>
      <c r="F373" t="s">
        <v>6</v>
      </c>
      <c r="G373" t="s">
        <v>290</v>
      </c>
      <c r="H373" t="s">
        <v>20</v>
      </c>
      <c r="I373" t="str">
        <f t="shared" si="5"/>
        <v>Ultracem S.A.S.VANTI</v>
      </c>
      <c r="J373" t="str">
        <f>VLOOKUP(I373,[1]Base!$I:$J,2,0)</f>
        <v>Juan Carlos Pinilla</v>
      </c>
    </row>
    <row r="374" spans="1:10">
      <c r="B374" s="14" t="e">
        <v>#N/A</v>
      </c>
      <c r="C374" t="s">
        <v>255</v>
      </c>
      <c r="D374" t="s">
        <v>245</v>
      </c>
      <c r="E374" t="s">
        <v>487</v>
      </c>
      <c r="F374" t="s">
        <v>6</v>
      </c>
      <c r="G374" t="s">
        <v>255</v>
      </c>
      <c r="H374" t="s">
        <v>255</v>
      </c>
      <c r="I374" t="str">
        <f t="shared" si="5"/>
        <v>ULTRAGAS VEHICULAR SASVANTI</v>
      </c>
      <c r="J374" t="str">
        <f>VLOOKUP(I374,[1]Base!$I:$J,2,0)</f>
        <v>GNV</v>
      </c>
    </row>
    <row r="375" spans="1:10">
      <c r="B375" s="14" t="e">
        <v>#N/A</v>
      </c>
      <c r="C375" t="s">
        <v>255</v>
      </c>
      <c r="D375" t="s">
        <v>245</v>
      </c>
      <c r="E375" t="s">
        <v>487</v>
      </c>
      <c r="F375" t="s">
        <v>12</v>
      </c>
      <c r="G375" t="s">
        <v>255</v>
      </c>
      <c r="H375" t="s">
        <v>255</v>
      </c>
      <c r="I375" t="str">
        <f t="shared" si="5"/>
        <v>ULTRAGAS VEHICULAR SASGNCB</v>
      </c>
      <c r="J375" t="str">
        <f>VLOOKUP(I375,[1]Base!$I:$J,2,0)</f>
        <v>GNV</v>
      </c>
    </row>
    <row r="376" spans="1:10">
      <c r="A376" t="s">
        <v>906</v>
      </c>
      <c r="B376" s="14">
        <v>1003022341</v>
      </c>
      <c r="C376" t="s">
        <v>5</v>
      </c>
      <c r="D376" t="s">
        <v>175</v>
      </c>
      <c r="E376" t="s">
        <v>671</v>
      </c>
      <c r="F376" t="s">
        <v>12</v>
      </c>
      <c r="G376" t="s">
        <v>15</v>
      </c>
      <c r="H376" t="s">
        <v>15</v>
      </c>
      <c r="I376" t="str">
        <f t="shared" si="5"/>
        <v>Usadas Certificadas S.A.S.GNCB</v>
      </c>
      <c r="J376" t="str">
        <f>VLOOKUP(I376,[1]Base!$I:$J,2,0)</f>
        <v>Juan Carlos Pinilla</v>
      </c>
    </row>
    <row r="377" spans="1:10">
      <c r="A377" t="s">
        <v>906</v>
      </c>
      <c r="B377" s="14">
        <v>1003022341</v>
      </c>
      <c r="C377" t="s">
        <v>5</v>
      </c>
      <c r="D377" t="s">
        <v>175</v>
      </c>
      <c r="E377" t="s">
        <v>671</v>
      </c>
      <c r="F377" t="s">
        <v>17</v>
      </c>
      <c r="G377" t="s">
        <v>15</v>
      </c>
      <c r="H377" t="s">
        <v>290</v>
      </c>
      <c r="I377" t="str">
        <f t="shared" si="5"/>
        <v>Usadas Certificadas S.A.S.GNC</v>
      </c>
      <c r="J377" t="str">
        <f>VLOOKUP(I377,[1]Base!$I:$J,2,0)</f>
        <v>Lina del Mar Florez</v>
      </c>
    </row>
    <row r="378" spans="1:10">
      <c r="B378" s="14" t="e">
        <v>#N/A</v>
      </c>
      <c r="C378" t="s">
        <v>255</v>
      </c>
      <c r="D378" t="s">
        <v>264</v>
      </c>
      <c r="E378" t="s">
        <v>488</v>
      </c>
      <c r="F378" t="s">
        <v>6</v>
      </c>
      <c r="G378" t="s">
        <v>255</v>
      </c>
      <c r="H378" t="s">
        <v>255</v>
      </c>
      <c r="I378" t="str">
        <f t="shared" si="5"/>
        <v>VEHICULO A GAS LTDAVANTI</v>
      </c>
      <c r="J378" t="str">
        <f>VLOOKUP(I378,[1]Base!$I:$J,2,0)</f>
        <v>GNV</v>
      </c>
    </row>
    <row r="379" spans="1:10">
      <c r="B379" s="14" t="e">
        <v>#N/A</v>
      </c>
      <c r="C379" t="s">
        <v>255</v>
      </c>
      <c r="D379" t="s">
        <v>264</v>
      </c>
      <c r="E379" t="s">
        <v>488</v>
      </c>
      <c r="F379" t="s">
        <v>12</v>
      </c>
      <c r="G379" t="s">
        <v>255</v>
      </c>
      <c r="H379" t="s">
        <v>255</v>
      </c>
      <c r="I379" t="str">
        <f t="shared" si="5"/>
        <v>VEHICULO A GAS LTDAGNCB</v>
      </c>
      <c r="J379" t="str">
        <f>VLOOKUP(I379,[1]Base!$I:$J,2,0)</f>
        <v>GNV</v>
      </c>
    </row>
    <row r="380" spans="1:10">
      <c r="A380" t="s">
        <v>907</v>
      </c>
      <c r="B380" s="14">
        <v>1003003880</v>
      </c>
      <c r="C380" t="s">
        <v>5</v>
      </c>
      <c r="D380" t="s">
        <v>145</v>
      </c>
      <c r="E380" t="s">
        <v>672</v>
      </c>
      <c r="F380" t="s">
        <v>12</v>
      </c>
      <c r="G380" t="s">
        <v>22</v>
      </c>
      <c r="H380" t="s">
        <v>16</v>
      </c>
      <c r="I380" t="str">
        <f t="shared" si="5"/>
        <v>Velmotor S.A.S.GNCB</v>
      </c>
      <c r="J380" t="str">
        <f>VLOOKUP(I380,[1]Base!$I:$J,2,0)</f>
        <v>Lina del Mar Florez</v>
      </c>
    </row>
    <row r="381" spans="1:10">
      <c r="A381" t="s">
        <v>908</v>
      </c>
      <c r="B381" s="14">
        <v>1003104632</v>
      </c>
      <c r="C381" t="s">
        <v>5</v>
      </c>
      <c r="D381" t="s">
        <v>253</v>
      </c>
      <c r="E381" t="s">
        <v>673</v>
      </c>
      <c r="F381" t="s">
        <v>12</v>
      </c>
      <c r="G381" t="s">
        <v>15</v>
      </c>
      <c r="H381" t="s">
        <v>16</v>
      </c>
      <c r="I381" t="str">
        <f t="shared" si="5"/>
        <v>VIA MOTOS S.A.SGNCB</v>
      </c>
      <c r="J381" t="str">
        <f>VLOOKUP(I381,[1]Base!$I:$J,2,0)</f>
        <v>Lina del Mar Florez</v>
      </c>
    </row>
    <row r="382" spans="1:10">
      <c r="A382" t="s">
        <v>908</v>
      </c>
      <c r="B382" s="14">
        <v>1003104632</v>
      </c>
      <c r="C382" t="s">
        <v>5</v>
      </c>
      <c r="D382" t="s">
        <v>253</v>
      </c>
      <c r="E382" t="s">
        <v>673</v>
      </c>
      <c r="F382" t="s">
        <v>6</v>
      </c>
      <c r="G382" t="s">
        <v>15</v>
      </c>
      <c r="H382" t="s">
        <v>15</v>
      </c>
      <c r="I382" t="str">
        <f t="shared" si="5"/>
        <v>VIA MOTOS S.A.SVANTI</v>
      </c>
      <c r="J382" t="str">
        <f>VLOOKUP(I382,[1]Base!$I:$J,2,0)</f>
        <v>Juan Carlos Pinilla</v>
      </c>
    </row>
    <row r="383" spans="1:10">
      <c r="A383" t="s">
        <v>909</v>
      </c>
      <c r="B383" s="14" t="s">
        <v>952</v>
      </c>
      <c r="C383" t="s">
        <v>5</v>
      </c>
      <c r="D383" t="s">
        <v>107</v>
      </c>
      <c r="E383" t="s">
        <v>489</v>
      </c>
      <c r="F383" t="s">
        <v>17</v>
      </c>
      <c r="G383" t="s">
        <v>305</v>
      </c>
      <c r="H383" t="s">
        <v>290</v>
      </c>
      <c r="I383" t="str">
        <f t="shared" si="5"/>
        <v>VICTOR MOTOS SASGNC</v>
      </c>
      <c r="J383" t="str">
        <f>VLOOKUP(I383,[1]Base!$I:$J,2,0)</f>
        <v>Lina del Mar Florez</v>
      </c>
    </row>
    <row r="384" spans="1:10">
      <c r="A384" t="s">
        <v>910</v>
      </c>
      <c r="B384" s="14">
        <v>1002984699</v>
      </c>
      <c r="C384" t="s">
        <v>5</v>
      </c>
      <c r="D384" t="s">
        <v>120</v>
      </c>
      <c r="E384" t="s">
        <v>674</v>
      </c>
      <c r="F384" t="s">
        <v>12</v>
      </c>
      <c r="G384" t="s">
        <v>22</v>
      </c>
      <c r="H384" t="s">
        <v>16</v>
      </c>
      <c r="I384" t="str">
        <f t="shared" si="5"/>
        <v>Yamarinos Kasamotos S.A.S.GNCB</v>
      </c>
      <c r="J384" t="str">
        <f>VLOOKUP(I384,[1]Base!$I:$J,2,0)</f>
        <v>Lina del Mar Florez</v>
      </c>
    </row>
    <row r="385" spans="1:11">
      <c r="A385" t="s">
        <v>911</v>
      </c>
      <c r="B385" s="14">
        <v>1002952208</v>
      </c>
      <c r="C385" t="s">
        <v>5</v>
      </c>
      <c r="D385" t="s">
        <v>162</v>
      </c>
      <c r="E385" t="s">
        <v>675</v>
      </c>
      <c r="F385" t="s">
        <v>6</v>
      </c>
      <c r="G385" t="s">
        <v>15</v>
      </c>
      <c r="H385" t="s">
        <v>15</v>
      </c>
      <c r="I385" t="str">
        <f t="shared" si="5"/>
        <v>ZAGAMOTOS DEL PACIFICO S.A.SVANTI</v>
      </c>
      <c r="J385" t="str">
        <f>VLOOKUP(I385,[1]Base!$I:$J,2,0)</f>
        <v>Juan Carlos Pinilla</v>
      </c>
    </row>
    <row r="386" spans="1:11">
      <c r="A386" t="s">
        <v>911</v>
      </c>
      <c r="B386" s="14">
        <v>1002952208</v>
      </c>
      <c r="C386" t="s">
        <v>5</v>
      </c>
      <c r="D386" t="s">
        <v>162</v>
      </c>
      <c r="E386" t="s">
        <v>675</v>
      </c>
      <c r="F386" t="s">
        <v>17</v>
      </c>
      <c r="G386" t="s">
        <v>15</v>
      </c>
      <c r="H386" t="s">
        <v>290</v>
      </c>
      <c r="I386" t="str">
        <f t="shared" si="5"/>
        <v>ZAGAMOTOS DEL PACIFICO S.A.SGNC</v>
      </c>
      <c r="J386" t="str">
        <f>VLOOKUP(I386,[1]Base!$I:$J,2,0)</f>
        <v>Lina del Mar Florez</v>
      </c>
    </row>
    <row r="387" spans="1:11">
      <c r="B387" s="14" t="e">
        <v>#N/A</v>
      </c>
      <c r="C387" t="s">
        <v>255</v>
      </c>
      <c r="D387" t="s">
        <v>266</v>
      </c>
      <c r="E387" t="s">
        <v>490</v>
      </c>
      <c r="F387" t="s">
        <v>12</v>
      </c>
      <c r="G387" t="s">
        <v>255</v>
      </c>
      <c r="H387" t="s">
        <v>255</v>
      </c>
      <c r="I387" t="str">
        <f t="shared" ref="I387:I450" si="6">D387&amp;F387</f>
        <v>ZAVOLI COLOMBIA SASGNCB</v>
      </c>
      <c r="J387" t="str">
        <f>VLOOKUP(I387,[1]Base!$I:$J,2,0)</f>
        <v>GNV</v>
      </c>
    </row>
    <row r="388" spans="1:11">
      <c r="B388" s="14" t="e">
        <v>#N/A</v>
      </c>
      <c r="C388" t="s">
        <v>255</v>
      </c>
      <c r="D388" t="s">
        <v>266</v>
      </c>
      <c r="E388" t="s">
        <v>490</v>
      </c>
      <c r="F388" t="s">
        <v>6</v>
      </c>
      <c r="G388" t="s">
        <v>255</v>
      </c>
      <c r="H388" t="s">
        <v>255</v>
      </c>
      <c r="I388" t="str">
        <f t="shared" si="6"/>
        <v>ZAVOLI COLOMBIA SASVANTI</v>
      </c>
      <c r="J388" t="str">
        <f>VLOOKUP(I388,[1]Base!$I:$J,2,0)</f>
        <v>GNV</v>
      </c>
    </row>
    <row r="389" spans="1:11">
      <c r="A389" t="s">
        <v>912</v>
      </c>
      <c r="B389" s="14">
        <v>1003027585</v>
      </c>
      <c r="C389" t="s">
        <v>5</v>
      </c>
      <c r="D389" t="s">
        <v>182</v>
      </c>
      <c r="E389" t="s">
        <v>676</v>
      </c>
      <c r="F389" t="s">
        <v>12</v>
      </c>
      <c r="G389" t="s">
        <v>15</v>
      </c>
      <c r="H389" t="s">
        <v>13</v>
      </c>
      <c r="I389" t="str">
        <f t="shared" si="6"/>
        <v>Zeta Mobiity S.A.S.GNCB</v>
      </c>
      <c r="J389" t="str">
        <f>VLOOKUP(I389,[1]Base!$I:$J,2,0)</f>
        <v>Lina del Mar Florez</v>
      </c>
    </row>
    <row r="390" spans="1:11">
      <c r="A390" t="s">
        <v>895</v>
      </c>
      <c r="B390" s="14">
        <v>1000403382</v>
      </c>
      <c r="C390" t="s">
        <v>8</v>
      </c>
      <c r="D390" t="s">
        <v>102</v>
      </c>
      <c r="E390" t="s">
        <v>478</v>
      </c>
      <c r="F390" t="s">
        <v>17</v>
      </c>
      <c r="G390" t="s">
        <v>13</v>
      </c>
      <c r="H390" t="s">
        <v>290</v>
      </c>
      <c r="I390" t="str">
        <f t="shared" si="6"/>
        <v>SOELCO SASGNC</v>
      </c>
      <c r="J390" t="str">
        <f>VLOOKUP(I390,[1]Base!$I:$J,2,0)</f>
        <v>Lina del Mar Florez</v>
      </c>
    </row>
    <row r="391" spans="1:11">
      <c r="A391" t="s">
        <v>878</v>
      </c>
      <c r="B391" s="14">
        <v>1000008205</v>
      </c>
      <c r="C391" t="s">
        <v>18</v>
      </c>
      <c r="D391" t="s">
        <v>331</v>
      </c>
      <c r="E391" t="s">
        <v>539</v>
      </c>
      <c r="F391" t="s">
        <v>17</v>
      </c>
      <c r="G391" t="s">
        <v>304</v>
      </c>
      <c r="H391" t="s">
        <v>290</v>
      </c>
      <c r="I391" t="str">
        <f t="shared" si="6"/>
        <v>OLIMPICA S.A.GNC</v>
      </c>
      <c r="J391" t="str">
        <f>VLOOKUP(I391,[1]Base!$I:$J,2,0)</f>
        <v>Lina del Mar Florez</v>
      </c>
    </row>
    <row r="392" spans="1:11">
      <c r="A392" t="s">
        <v>786</v>
      </c>
      <c r="B392" s="14">
        <v>1003168183</v>
      </c>
      <c r="C392" t="s">
        <v>8</v>
      </c>
      <c r="D392" t="s">
        <v>330</v>
      </c>
      <c r="E392" t="s">
        <v>596</v>
      </c>
      <c r="F392" t="s">
        <v>6</v>
      </c>
      <c r="G392" t="s">
        <v>16</v>
      </c>
      <c r="H392" t="s">
        <v>20</v>
      </c>
      <c r="I392" t="str">
        <f t="shared" si="6"/>
        <v>ELECTRODOMESTICOS MILLER S.A.SVANTI</v>
      </c>
      <c r="J392" t="str">
        <f>VLOOKUP(I392,[1]Base!$I:$J,2,0)</f>
        <v>Juan Carlos Pinilla</v>
      </c>
    </row>
    <row r="393" spans="1:11">
      <c r="A393" t="s">
        <v>913</v>
      </c>
      <c r="B393" s="14">
        <v>1002966197</v>
      </c>
      <c r="C393" t="s">
        <v>5</v>
      </c>
      <c r="D393" t="s">
        <v>40</v>
      </c>
      <c r="E393" t="s">
        <v>491</v>
      </c>
      <c r="F393" t="s">
        <v>6</v>
      </c>
      <c r="G393" t="s">
        <v>305</v>
      </c>
      <c r="H393" t="s">
        <v>22</v>
      </c>
      <c r="I393" t="str">
        <f t="shared" si="6"/>
        <v>COMPAÑÍA DE SERVICIOS ARENAS ROJAS SASVANTI</v>
      </c>
      <c r="J393" t="str">
        <f>VLOOKUP(I393,[1]Base!$I:$J,2,0)</f>
        <v>Juan Carlos Pinilla</v>
      </c>
    </row>
    <row r="394" spans="1:11">
      <c r="A394" t="s">
        <v>764</v>
      </c>
      <c r="B394" s="14">
        <v>1003120210</v>
      </c>
      <c r="C394" t="s">
        <v>8</v>
      </c>
      <c r="D394" t="s">
        <v>300</v>
      </c>
      <c r="E394" t="s">
        <v>404</v>
      </c>
      <c r="F394" t="s">
        <v>6</v>
      </c>
      <c r="G394" t="s">
        <v>305</v>
      </c>
      <c r="H394" t="s">
        <v>20</v>
      </c>
      <c r="I394" t="str">
        <f t="shared" si="6"/>
        <v>COOPERATIVA MULTIACTIVA DE LOS TRABAJADORES DE SANTANDER VANTI</v>
      </c>
      <c r="J394" t="str">
        <f>VLOOKUP(I394,[1]Base!$I:$J,2,0)</f>
        <v>Juan Carlos Pinilla</v>
      </c>
    </row>
    <row r="395" spans="1:11">
      <c r="A395" t="s">
        <v>774</v>
      </c>
      <c r="B395" s="14">
        <v>1002961200</v>
      </c>
      <c r="C395" t="s">
        <v>5</v>
      </c>
      <c r="D395" t="s">
        <v>123</v>
      </c>
      <c r="E395" t="s">
        <v>585</v>
      </c>
      <c r="F395" t="s">
        <v>12</v>
      </c>
      <c r="G395" t="s">
        <v>15</v>
      </c>
      <c r="H395" t="s">
        <v>16</v>
      </c>
      <c r="I395" t="str">
        <f t="shared" si="6"/>
        <v>Distribuidora de Motores y Movilidad Dimovil S.A.S.GNCB</v>
      </c>
      <c r="J395" t="str">
        <f>VLOOKUP(I395,[1]Base!$I:$J,2,0)</f>
        <v>Lina del Mar Florez</v>
      </c>
    </row>
    <row r="396" spans="1:11">
      <c r="A396" t="s">
        <v>914</v>
      </c>
      <c r="B396" s="14">
        <v>1002954390</v>
      </c>
      <c r="C396" t="s">
        <v>5</v>
      </c>
      <c r="D396" t="s">
        <v>337</v>
      </c>
      <c r="E396" t="s">
        <v>677</v>
      </c>
      <c r="F396" t="s">
        <v>6</v>
      </c>
      <c r="G396" t="s">
        <v>336</v>
      </c>
      <c r="H396" t="s">
        <v>336</v>
      </c>
      <c r="I396" t="str">
        <f t="shared" si="6"/>
        <v>MOTO PLANET SAS.VANTI</v>
      </c>
      <c r="J396" t="str">
        <f>VLOOKUP(I396,[1]Base!$I:$J,2,0)</f>
        <v>Juan Carlos Pinilla</v>
      </c>
    </row>
    <row r="397" spans="1:11">
      <c r="A397" t="s">
        <v>802</v>
      </c>
      <c r="B397" s="14">
        <v>1003131109</v>
      </c>
      <c r="C397" t="s">
        <v>8</v>
      </c>
      <c r="D397" t="s">
        <v>317</v>
      </c>
      <c r="E397" t="s">
        <v>607</v>
      </c>
      <c r="F397" t="s">
        <v>6</v>
      </c>
      <c r="G397" t="s">
        <v>305</v>
      </c>
      <c r="H397" t="s">
        <v>336</v>
      </c>
      <c r="I397" t="str">
        <f t="shared" si="6"/>
        <v>GRUPO FERRETERO F.C. S.A.S.VANTI</v>
      </c>
      <c r="J397" t="str">
        <f>VLOOKUP(I397,[1]Base!$I:$J,2,0)</f>
        <v>Juan Carlos Pinilla</v>
      </c>
    </row>
    <row r="398" spans="1:11">
      <c r="A398" s="13" t="s">
        <v>370</v>
      </c>
      <c r="B398" s="14">
        <v>1002963214</v>
      </c>
      <c r="C398" t="s">
        <v>5</v>
      </c>
      <c r="D398" t="s">
        <v>343</v>
      </c>
      <c r="E398" t="s">
        <v>371</v>
      </c>
      <c r="F398" t="s">
        <v>6</v>
      </c>
      <c r="G398" t="s">
        <v>15</v>
      </c>
      <c r="H398" t="s">
        <v>15</v>
      </c>
      <c r="I398" t="str">
        <f t="shared" si="6"/>
        <v>MAS MOTOS MAS REPUESTOSVANTI</v>
      </c>
      <c r="J398" t="str">
        <f>VLOOKUP(I398,[1]Base!$I:$J,2,0)</f>
        <v>Juan Carlos Pinilla</v>
      </c>
      <c r="K398" t="s">
        <v>696</v>
      </c>
    </row>
    <row r="399" spans="1:11">
      <c r="A399" t="s">
        <v>915</v>
      </c>
      <c r="B399" s="14">
        <v>1003027157</v>
      </c>
      <c r="C399" t="s">
        <v>5</v>
      </c>
      <c r="D399" t="s">
        <v>227</v>
      </c>
      <c r="E399" t="s">
        <v>492</v>
      </c>
      <c r="F399" t="s">
        <v>17</v>
      </c>
      <c r="G399" t="s">
        <v>290</v>
      </c>
      <c r="H399" t="s">
        <v>290</v>
      </c>
      <c r="I399" t="str">
        <f t="shared" si="6"/>
        <v>ALBEIRO CANO TOROGNC</v>
      </c>
      <c r="J399" t="str">
        <f>VLOOKUP(I399,[1]Base!$I:$J,2,0)</f>
        <v>Lina del Mar Florez</v>
      </c>
    </row>
    <row r="400" spans="1:11">
      <c r="A400" t="s">
        <v>719</v>
      </c>
      <c r="B400" s="14">
        <v>1003158970</v>
      </c>
      <c r="C400" t="s">
        <v>8</v>
      </c>
      <c r="D400" t="s">
        <v>318</v>
      </c>
      <c r="E400" t="s">
        <v>376</v>
      </c>
      <c r="F400" t="s">
        <v>6</v>
      </c>
      <c r="G400" t="s">
        <v>305</v>
      </c>
      <c r="H400" t="s">
        <v>20</v>
      </c>
      <c r="I400" t="str">
        <f t="shared" si="6"/>
        <v>ALCA LTDAVANTI</v>
      </c>
      <c r="J400" t="str">
        <f>VLOOKUP(I400,[1]Base!$I:$J,2,0)</f>
        <v>Juan Carlos Pinilla</v>
      </c>
    </row>
    <row r="401" spans="1:10">
      <c r="A401" t="s">
        <v>720</v>
      </c>
      <c r="B401" s="14">
        <v>1000008105</v>
      </c>
      <c r="C401" t="s">
        <v>8</v>
      </c>
      <c r="D401" t="s">
        <v>11</v>
      </c>
      <c r="E401" t="s">
        <v>552</v>
      </c>
      <c r="F401" t="s">
        <v>12</v>
      </c>
      <c r="G401" t="s">
        <v>336</v>
      </c>
      <c r="H401" t="s">
        <v>16</v>
      </c>
      <c r="I401" t="str">
        <f t="shared" si="6"/>
        <v>Alfagres S.A. - En ReorganizaciónGNCB</v>
      </c>
      <c r="J401" t="str">
        <f>VLOOKUP(I401,[1]Base!$I:$J,2,0)</f>
        <v>Lina del Mar Florez</v>
      </c>
    </row>
    <row r="402" spans="1:10">
      <c r="A402" t="s">
        <v>720</v>
      </c>
      <c r="B402" s="14">
        <v>1000008105</v>
      </c>
      <c r="C402" t="s">
        <v>8</v>
      </c>
      <c r="D402" t="s">
        <v>11</v>
      </c>
      <c r="E402" t="s">
        <v>552</v>
      </c>
      <c r="F402" t="s">
        <v>6</v>
      </c>
      <c r="G402" t="s">
        <v>336</v>
      </c>
      <c r="H402" t="s">
        <v>336</v>
      </c>
      <c r="I402" t="str">
        <f t="shared" si="6"/>
        <v>Alfagres S.A. - En ReorganizaciónVANTI</v>
      </c>
      <c r="J402" t="str">
        <f>VLOOKUP(I402,[1]Base!$I:$J,2,0)</f>
        <v>Juan Carlos Pinilla</v>
      </c>
    </row>
    <row r="403" spans="1:10">
      <c r="A403" t="s">
        <v>722</v>
      </c>
      <c r="B403" s="14">
        <v>1002788615</v>
      </c>
      <c r="C403" t="s">
        <v>8</v>
      </c>
      <c r="D403" t="s">
        <v>14</v>
      </c>
      <c r="E403" t="s">
        <v>554</v>
      </c>
      <c r="F403" t="s">
        <v>12</v>
      </c>
      <c r="G403" t="s">
        <v>336</v>
      </c>
      <c r="H403" t="s">
        <v>16</v>
      </c>
      <c r="I403" t="str">
        <f t="shared" si="6"/>
        <v>ALMACENES CORONA S.A.SGNCB</v>
      </c>
      <c r="J403" t="str">
        <f>VLOOKUP(I403,[1]Base!$I:$J,2,0)</f>
        <v>Lina del Mar Florez</v>
      </c>
    </row>
    <row r="404" spans="1:10">
      <c r="A404" t="s">
        <v>722</v>
      </c>
      <c r="B404" s="14">
        <v>1002788615</v>
      </c>
      <c r="C404" t="s">
        <v>8</v>
      </c>
      <c r="D404" t="s">
        <v>14</v>
      </c>
      <c r="E404" t="s">
        <v>554</v>
      </c>
      <c r="F404" t="s">
        <v>6</v>
      </c>
      <c r="G404" t="s">
        <v>336</v>
      </c>
      <c r="H404" t="s">
        <v>336</v>
      </c>
      <c r="I404" t="str">
        <f t="shared" si="6"/>
        <v>ALMACENES CORONA S.A.SVANTI</v>
      </c>
      <c r="J404" t="str">
        <f>VLOOKUP(I404,[1]Base!$I:$J,2,0)</f>
        <v>Juan Carlos Pinilla</v>
      </c>
    </row>
    <row r="405" spans="1:10">
      <c r="A405" t="s">
        <v>723</v>
      </c>
      <c r="B405" s="14">
        <v>1000008275</v>
      </c>
      <c r="C405" t="s">
        <v>18</v>
      </c>
      <c r="D405" t="s">
        <v>19</v>
      </c>
      <c r="E405" t="s">
        <v>378</v>
      </c>
      <c r="F405" t="s">
        <v>12</v>
      </c>
      <c r="G405" t="s">
        <v>291</v>
      </c>
      <c r="H405" t="s">
        <v>13</v>
      </c>
      <c r="I405" t="str">
        <f t="shared" si="6"/>
        <v>ALMACENES EXITO S AGNCB</v>
      </c>
      <c r="J405" t="str">
        <f>VLOOKUP(I405,[1]Base!$I:$J,2,0)</f>
        <v>Lina del Mar Florez</v>
      </c>
    </row>
    <row r="406" spans="1:10">
      <c r="A406" t="s">
        <v>723</v>
      </c>
      <c r="B406" s="14">
        <v>1000008275</v>
      </c>
      <c r="C406" t="s">
        <v>18</v>
      </c>
      <c r="D406" t="s">
        <v>19</v>
      </c>
      <c r="E406" t="s">
        <v>378</v>
      </c>
      <c r="F406" t="s">
        <v>6</v>
      </c>
      <c r="G406" t="s">
        <v>291</v>
      </c>
      <c r="H406" t="s">
        <v>291</v>
      </c>
      <c r="I406" t="str">
        <f t="shared" si="6"/>
        <v>ALMACENES EXITO S AVANTI</v>
      </c>
      <c r="J406" t="str">
        <f>VLOOKUP(I406,[1]Base!$I:$J,2,0)</f>
        <v>Janneth Torres Hernandez</v>
      </c>
    </row>
    <row r="407" spans="1:10">
      <c r="A407" t="s">
        <v>725</v>
      </c>
      <c r="B407" s="14">
        <v>1002827461</v>
      </c>
      <c r="C407" t="s">
        <v>8</v>
      </c>
      <c r="D407" t="s">
        <v>21</v>
      </c>
      <c r="E407" t="s">
        <v>556</v>
      </c>
      <c r="F407" t="s">
        <v>12</v>
      </c>
      <c r="G407" t="s">
        <v>20</v>
      </c>
      <c r="H407" t="s">
        <v>13</v>
      </c>
      <c r="I407" t="str">
        <f t="shared" si="6"/>
        <v>ALONDRA MUEBLES Y COLCHONES S.A.SGNCB</v>
      </c>
      <c r="J407" t="str">
        <f>VLOOKUP(I407,[1]Base!$I:$J,2,0)</f>
        <v>Lina del Mar Florez</v>
      </c>
    </row>
    <row r="408" spans="1:10">
      <c r="A408" t="s">
        <v>725</v>
      </c>
      <c r="B408" s="14">
        <v>1002827461</v>
      </c>
      <c r="C408" t="s">
        <v>8</v>
      </c>
      <c r="D408" t="s">
        <v>21</v>
      </c>
      <c r="E408" t="s">
        <v>556</v>
      </c>
      <c r="F408" t="s">
        <v>6</v>
      </c>
      <c r="G408" t="s">
        <v>20</v>
      </c>
      <c r="H408" t="s">
        <v>20</v>
      </c>
      <c r="I408" t="str">
        <f t="shared" si="6"/>
        <v>ALONDRA MUEBLES Y COLCHONES S.A.SVANTI</v>
      </c>
      <c r="J408" t="str">
        <f>VLOOKUP(I408,[1]Base!$I:$J,2,0)</f>
        <v>Juan Carlos Pinilla</v>
      </c>
    </row>
    <row r="409" spans="1:10">
      <c r="A409" t="s">
        <v>727</v>
      </c>
      <c r="B409" s="14">
        <v>1000027908</v>
      </c>
      <c r="C409" t="s">
        <v>8</v>
      </c>
      <c r="D409" t="s">
        <v>24</v>
      </c>
      <c r="E409" t="s">
        <v>381</v>
      </c>
      <c r="F409" t="s">
        <v>12</v>
      </c>
      <c r="G409" t="s">
        <v>13</v>
      </c>
      <c r="H409" t="s">
        <v>13</v>
      </c>
      <c r="I409" t="str">
        <f t="shared" si="6"/>
        <v>AMBIENTES CERAMICOS LTDAGNCB</v>
      </c>
      <c r="J409" t="str">
        <f>VLOOKUP(I409,[1]Base!$I:$J,2,0)</f>
        <v>Lina del Mar Florez</v>
      </c>
    </row>
    <row r="410" spans="1:10">
      <c r="A410" t="s">
        <v>728</v>
      </c>
      <c r="B410" s="14">
        <v>1002915900</v>
      </c>
      <c r="C410" t="s">
        <v>8</v>
      </c>
      <c r="D410" t="s">
        <v>230</v>
      </c>
      <c r="E410" t="s">
        <v>382</v>
      </c>
      <c r="F410" t="s">
        <v>12</v>
      </c>
      <c r="G410" t="s">
        <v>16</v>
      </c>
      <c r="H410" t="s">
        <v>16</v>
      </c>
      <c r="I410" t="str">
        <f t="shared" si="6"/>
        <v>Ana Maria ParraGNCB</v>
      </c>
      <c r="J410" t="str">
        <f>VLOOKUP(I410,[1]Base!$I:$J,2,0)</f>
        <v>Lina del Mar Florez</v>
      </c>
    </row>
    <row r="411" spans="1:10">
      <c r="A411" t="s">
        <v>730</v>
      </c>
      <c r="B411" s="14">
        <v>1003142750</v>
      </c>
      <c r="C411" t="s">
        <v>5</v>
      </c>
      <c r="D411" t="s">
        <v>309</v>
      </c>
      <c r="E411" t="s">
        <v>557</v>
      </c>
      <c r="F411" t="s">
        <v>6</v>
      </c>
      <c r="G411" t="s">
        <v>22</v>
      </c>
      <c r="H411" t="s">
        <v>22</v>
      </c>
      <c r="I411" t="str">
        <f t="shared" si="6"/>
        <v>AUTECO S.A.S.VANTI</v>
      </c>
      <c r="J411" t="str">
        <f>VLOOKUP(I411,[1]Base!$I:$J,2,0)</f>
        <v>Juan Carlos Pinilla</v>
      </c>
    </row>
    <row r="412" spans="1:10">
      <c r="A412" t="s">
        <v>730</v>
      </c>
      <c r="B412" s="14">
        <v>1003142750</v>
      </c>
      <c r="C412" t="s">
        <v>5</v>
      </c>
      <c r="D412" t="s">
        <v>309</v>
      </c>
      <c r="E412" t="s">
        <v>557</v>
      </c>
      <c r="F412" t="s">
        <v>12</v>
      </c>
      <c r="G412" t="s">
        <v>22</v>
      </c>
      <c r="H412" t="s">
        <v>16</v>
      </c>
      <c r="I412" t="str">
        <f t="shared" si="6"/>
        <v>AUTECO S.A.S.GNCB</v>
      </c>
      <c r="J412" t="str">
        <f>VLOOKUP(I412,[1]Base!$I:$J,2,0)</f>
        <v>Lina del Mar Florez</v>
      </c>
    </row>
    <row r="413" spans="1:10">
      <c r="A413" t="s">
        <v>916</v>
      </c>
      <c r="B413" s="14">
        <v>1002951781</v>
      </c>
      <c r="C413" t="s">
        <v>5</v>
      </c>
      <c r="D413" t="s">
        <v>25</v>
      </c>
      <c r="E413" t="s">
        <v>678</v>
      </c>
      <c r="F413" t="s">
        <v>6</v>
      </c>
      <c r="G413" t="s">
        <v>15</v>
      </c>
      <c r="H413" t="s">
        <v>15</v>
      </c>
      <c r="I413" t="str">
        <f t="shared" si="6"/>
        <v>BANAMOTOS S.ASVANTI</v>
      </c>
      <c r="J413" t="str">
        <f>VLOOKUP(I413,[1]Base!$I:$J,2,0)</f>
        <v>Juan Carlos Pinilla</v>
      </c>
    </row>
    <row r="414" spans="1:10">
      <c r="A414" t="s">
        <v>916</v>
      </c>
      <c r="B414" s="14">
        <v>1002951781</v>
      </c>
      <c r="C414" t="s">
        <v>5</v>
      </c>
      <c r="D414" t="s">
        <v>25</v>
      </c>
      <c r="E414" t="s">
        <v>678</v>
      </c>
      <c r="F414" t="s">
        <v>12</v>
      </c>
      <c r="G414" t="s">
        <v>15</v>
      </c>
      <c r="H414" t="s">
        <v>16</v>
      </c>
      <c r="I414" t="str">
        <f t="shared" si="6"/>
        <v>BANAMOTOS S.ASGNCB</v>
      </c>
      <c r="J414" t="str">
        <f>VLOOKUP(I414,[1]Base!$I:$J,2,0)</f>
        <v>Lina del Mar Florez</v>
      </c>
    </row>
    <row r="415" spans="1:10">
      <c r="A415" t="s">
        <v>732</v>
      </c>
      <c r="B415" s="14">
        <v>1003020236</v>
      </c>
      <c r="C415" t="s">
        <v>5</v>
      </c>
      <c r="D415" t="s">
        <v>172</v>
      </c>
      <c r="E415" t="s">
        <v>559</v>
      </c>
      <c r="F415" t="s">
        <v>6</v>
      </c>
      <c r="G415" t="s">
        <v>15</v>
      </c>
      <c r="H415" t="s">
        <v>15</v>
      </c>
      <c r="I415" t="str">
        <f t="shared" si="6"/>
        <v>Biologica Vehiculos Electricos S.A.S.VANTI</v>
      </c>
      <c r="J415" t="str">
        <f>VLOOKUP(I415,[1]Base!$I:$J,2,0)</f>
        <v>Juan Carlos Pinilla</v>
      </c>
    </row>
    <row r="416" spans="1:10">
      <c r="A416" t="s">
        <v>733</v>
      </c>
      <c r="B416" s="14">
        <v>1003035671</v>
      </c>
      <c r="C416" t="s">
        <v>5</v>
      </c>
      <c r="D416" t="s">
        <v>212</v>
      </c>
      <c r="E416" t="s">
        <v>560</v>
      </c>
      <c r="F416" t="s">
        <v>6</v>
      </c>
      <c r="G416" t="s">
        <v>22</v>
      </c>
      <c r="H416" t="s">
        <v>22</v>
      </c>
      <c r="I416" t="str">
        <f t="shared" si="6"/>
        <v>BMR Group S.A.S.VANTI</v>
      </c>
      <c r="J416" t="str">
        <f>VLOOKUP(I416,[1]Base!$I:$J,2,0)</f>
        <v>Juan Carlos Pinilla</v>
      </c>
    </row>
    <row r="417" spans="1:10">
      <c r="A417" t="s">
        <v>917</v>
      </c>
      <c r="B417" s="14">
        <v>1002143340</v>
      </c>
      <c r="C417" t="s">
        <v>5</v>
      </c>
      <c r="D417" t="s">
        <v>164</v>
      </c>
      <c r="E417" t="s">
        <v>493</v>
      </c>
      <c r="F417" t="s">
        <v>17</v>
      </c>
      <c r="G417" t="s">
        <v>305</v>
      </c>
      <c r="H417" t="s">
        <v>290</v>
      </c>
      <c r="I417" t="str">
        <f t="shared" si="6"/>
        <v>CAMACHO SUAREZ NELSON DAMIANGNC</v>
      </c>
      <c r="J417" t="str">
        <f>VLOOKUP(I417,[1]Base!$I:$J,2,0)</f>
        <v>Lina del Mar Florez</v>
      </c>
    </row>
    <row r="418" spans="1:10">
      <c r="A418" t="s">
        <v>738</v>
      </c>
      <c r="B418" s="14">
        <v>1002951779</v>
      </c>
      <c r="C418" t="s">
        <v>5</v>
      </c>
      <c r="D418" t="s">
        <v>28</v>
      </c>
      <c r="E418" t="s">
        <v>565</v>
      </c>
      <c r="F418" t="s">
        <v>6</v>
      </c>
      <c r="G418" t="s">
        <v>15</v>
      </c>
      <c r="H418" t="s">
        <v>15</v>
      </c>
      <c r="I418" t="str">
        <f t="shared" si="6"/>
        <v>Carrera Motos S.A.S.VANTI</v>
      </c>
      <c r="J418" t="str">
        <f>VLOOKUP(I418,[1]Base!$I:$J,2,0)</f>
        <v>Juan Carlos Pinilla</v>
      </c>
    </row>
    <row r="419" spans="1:10">
      <c r="A419" t="s">
        <v>738</v>
      </c>
      <c r="B419" s="14">
        <v>1002951779</v>
      </c>
      <c r="C419" t="s">
        <v>5</v>
      </c>
      <c r="D419" t="s">
        <v>28</v>
      </c>
      <c r="E419" t="s">
        <v>565</v>
      </c>
      <c r="F419" t="s">
        <v>12</v>
      </c>
      <c r="G419" t="s">
        <v>15</v>
      </c>
      <c r="H419" t="s">
        <v>16</v>
      </c>
      <c r="I419" t="str">
        <f t="shared" si="6"/>
        <v>Carrera Motos S.A.S.GNCB</v>
      </c>
      <c r="J419" t="str">
        <f>VLOOKUP(I419,[1]Base!$I:$J,2,0)</f>
        <v>Lina del Mar Florez</v>
      </c>
    </row>
    <row r="420" spans="1:10">
      <c r="A420" t="s">
        <v>739</v>
      </c>
      <c r="B420" s="14">
        <v>1003012848</v>
      </c>
      <c r="C420" t="s">
        <v>5</v>
      </c>
      <c r="D420" t="s">
        <v>156</v>
      </c>
      <c r="E420" t="s">
        <v>566</v>
      </c>
      <c r="F420" t="s">
        <v>6</v>
      </c>
      <c r="G420" t="s">
        <v>15</v>
      </c>
      <c r="H420" t="s">
        <v>15</v>
      </c>
      <c r="I420" t="str">
        <f t="shared" si="6"/>
        <v>CASA BAJAJ MYM S.A.S.VANTI</v>
      </c>
      <c r="J420" t="str">
        <f>VLOOKUP(I420,[1]Base!$I:$J,2,0)</f>
        <v>Juan Carlos Pinilla</v>
      </c>
    </row>
    <row r="421" spans="1:10">
      <c r="A421" t="s">
        <v>741</v>
      </c>
      <c r="B421" s="14">
        <v>1003088461</v>
      </c>
      <c r="C421" t="s">
        <v>8</v>
      </c>
      <c r="D421" t="s">
        <v>235</v>
      </c>
      <c r="E421" t="s">
        <v>391</v>
      </c>
      <c r="F421" t="s">
        <v>6</v>
      </c>
      <c r="G421" t="s">
        <v>336</v>
      </c>
      <c r="H421" t="s">
        <v>336</v>
      </c>
      <c r="I421" t="str">
        <f t="shared" si="6"/>
        <v>CEILINGS AND FLOORSVANTI</v>
      </c>
      <c r="J421" t="str">
        <f>VLOOKUP(I421,[1]Base!$I:$J,2,0)</f>
        <v>Juan Carlos Pinilla</v>
      </c>
    </row>
    <row r="422" spans="1:10">
      <c r="A422" t="s">
        <v>918</v>
      </c>
      <c r="B422" s="14">
        <v>1003012854</v>
      </c>
      <c r="C422" t="s">
        <v>5</v>
      </c>
      <c r="D422" t="s">
        <v>170</v>
      </c>
      <c r="E422" t="s">
        <v>679</v>
      </c>
      <c r="F422" t="s">
        <v>6</v>
      </c>
      <c r="G422" t="s">
        <v>22</v>
      </c>
      <c r="H422" t="s">
        <v>22</v>
      </c>
      <c r="I422" t="str">
        <f t="shared" si="6"/>
        <v>CENTRO MOTOS DE COLOMBIA S.A.S.VANTI</v>
      </c>
      <c r="J422" t="str">
        <f>VLOOKUP(I422,[1]Base!$I:$J,2,0)</f>
        <v>Juan Carlos Pinilla</v>
      </c>
    </row>
    <row r="423" spans="1:10">
      <c r="A423" t="s">
        <v>918</v>
      </c>
      <c r="B423" s="14">
        <v>1003012854</v>
      </c>
      <c r="C423" t="s">
        <v>5</v>
      </c>
      <c r="D423" t="s">
        <v>170</v>
      </c>
      <c r="E423" t="s">
        <v>679</v>
      </c>
      <c r="F423" t="s">
        <v>12</v>
      </c>
      <c r="G423" t="s">
        <v>22</v>
      </c>
      <c r="H423" t="s">
        <v>16</v>
      </c>
      <c r="I423" t="str">
        <f t="shared" si="6"/>
        <v>CENTRO MOTOS DE COLOMBIA S.A.S.GNCB</v>
      </c>
      <c r="J423" t="str">
        <f>VLOOKUP(I423,[1]Base!$I:$J,2,0)</f>
        <v>Lina del Mar Florez</v>
      </c>
    </row>
    <row r="424" spans="1:10">
      <c r="A424" t="s">
        <v>746</v>
      </c>
      <c r="B424" s="14">
        <v>1003114806</v>
      </c>
      <c r="C424" t="s">
        <v>8</v>
      </c>
      <c r="D424" t="s">
        <v>283</v>
      </c>
      <c r="E424" t="s">
        <v>393</v>
      </c>
      <c r="F424" t="s">
        <v>17</v>
      </c>
      <c r="G424" t="s">
        <v>305</v>
      </c>
      <c r="H424" t="s">
        <v>290</v>
      </c>
      <c r="I424" t="str">
        <f t="shared" si="6"/>
        <v>CHACAM TRADING SASGNC</v>
      </c>
      <c r="J424" t="str">
        <f>VLOOKUP(I424,[1]Base!$I:$J,2,0)</f>
        <v>Lina del Mar Florez</v>
      </c>
    </row>
    <row r="425" spans="1:10">
      <c r="A425" t="s">
        <v>746</v>
      </c>
      <c r="B425" s="14">
        <v>1003114806</v>
      </c>
      <c r="C425" t="s">
        <v>8</v>
      </c>
      <c r="D425" t="s">
        <v>283</v>
      </c>
      <c r="E425" t="s">
        <v>393</v>
      </c>
      <c r="F425" t="s">
        <v>12</v>
      </c>
      <c r="G425" t="s">
        <v>305</v>
      </c>
      <c r="H425" t="s">
        <v>16</v>
      </c>
      <c r="I425" t="str">
        <f t="shared" si="6"/>
        <v>CHACAM TRADING SASGNCB</v>
      </c>
      <c r="J425" t="str">
        <f>VLOOKUP(I425,[1]Base!$I:$J,2,0)</f>
        <v>Lina del Mar Florez</v>
      </c>
    </row>
    <row r="426" spans="1:10">
      <c r="A426" t="s">
        <v>748</v>
      </c>
      <c r="B426" s="14">
        <v>1002974545</v>
      </c>
      <c r="C426" t="s">
        <v>8</v>
      </c>
      <c r="D426" t="s">
        <v>113</v>
      </c>
      <c r="E426" t="s">
        <v>395</v>
      </c>
      <c r="F426" t="s">
        <v>17</v>
      </c>
      <c r="G426" t="s">
        <v>290</v>
      </c>
      <c r="H426" t="s">
        <v>290</v>
      </c>
      <c r="I426" t="str">
        <f t="shared" si="6"/>
        <v>CHINCHILLA SANTIAGO MILDREDGNC</v>
      </c>
      <c r="J426" t="str">
        <f>VLOOKUP(I426,[1]Base!$I:$J,2,0)</f>
        <v>Lina del Mar Florez</v>
      </c>
    </row>
    <row r="427" spans="1:10">
      <c r="A427" t="s">
        <v>749</v>
      </c>
      <c r="B427" s="14">
        <v>1003022151</v>
      </c>
      <c r="C427" t="s">
        <v>5</v>
      </c>
      <c r="D427" t="s">
        <v>174</v>
      </c>
      <c r="E427" t="s">
        <v>571</v>
      </c>
      <c r="F427" t="s">
        <v>6</v>
      </c>
      <c r="G427" t="s">
        <v>15</v>
      </c>
      <c r="H427" t="s">
        <v>15</v>
      </c>
      <c r="I427" t="str">
        <f t="shared" si="6"/>
        <v>Cimaxcol S.A.S.VANTI</v>
      </c>
      <c r="J427" t="str">
        <f>VLOOKUP(I427,[1]Base!$I:$J,2,0)</f>
        <v>Juan Carlos Pinilla</v>
      </c>
    </row>
    <row r="428" spans="1:10">
      <c r="A428" t="s">
        <v>919</v>
      </c>
      <c r="B428" s="14">
        <v>1000656497</v>
      </c>
      <c r="C428" t="s">
        <v>8</v>
      </c>
      <c r="D428" t="s">
        <v>180</v>
      </c>
      <c r="E428" t="s">
        <v>494</v>
      </c>
      <c r="F428" t="s">
        <v>17</v>
      </c>
      <c r="G428" t="s">
        <v>290</v>
      </c>
      <c r="H428" t="s">
        <v>290</v>
      </c>
      <c r="I428" t="str">
        <f t="shared" si="6"/>
        <v>CIRO ARÉVALO BARBOSAGNC</v>
      </c>
      <c r="J428" t="str">
        <f>VLOOKUP(I428,[1]Base!$I:$J,2,0)</f>
        <v>Lina del Mar Florez</v>
      </c>
    </row>
    <row r="429" spans="1:10">
      <c r="A429" t="s">
        <v>920</v>
      </c>
      <c r="B429" s="14">
        <v>1002909153</v>
      </c>
      <c r="C429" t="s">
        <v>8</v>
      </c>
      <c r="D429" t="s">
        <v>30</v>
      </c>
      <c r="E429" t="s">
        <v>495</v>
      </c>
      <c r="F429" t="s">
        <v>12</v>
      </c>
      <c r="G429" t="s">
        <v>336</v>
      </c>
      <c r="H429" t="s">
        <v>16</v>
      </c>
      <c r="I429" t="str">
        <f t="shared" si="6"/>
        <v>COL HOGAR 1 S A SGNCB</v>
      </c>
      <c r="J429" t="str">
        <f>VLOOKUP(I429,[1]Base!$I:$J,2,0)</f>
        <v>Lina del Mar Florez</v>
      </c>
    </row>
    <row r="430" spans="1:10">
      <c r="A430" t="s">
        <v>920</v>
      </c>
      <c r="B430" s="14">
        <v>1002909153</v>
      </c>
      <c r="C430" t="s">
        <v>8</v>
      </c>
      <c r="D430" t="s">
        <v>30</v>
      </c>
      <c r="E430" t="s">
        <v>495</v>
      </c>
      <c r="F430" t="s">
        <v>6</v>
      </c>
      <c r="G430" t="s">
        <v>336</v>
      </c>
      <c r="H430" t="s">
        <v>336</v>
      </c>
      <c r="I430" t="str">
        <f t="shared" si="6"/>
        <v>COL HOGAR 1 S A SVANTI</v>
      </c>
      <c r="J430" t="str">
        <f>VLOOKUP(I430,[1]Base!$I:$J,2,0)</f>
        <v>Juan Carlos Pinilla</v>
      </c>
    </row>
    <row r="431" spans="1:10">
      <c r="A431" t="s">
        <v>921</v>
      </c>
      <c r="B431" s="14">
        <v>1002954888</v>
      </c>
      <c r="C431" t="s">
        <v>5</v>
      </c>
      <c r="D431" t="s">
        <v>31</v>
      </c>
      <c r="E431" t="s">
        <v>496</v>
      </c>
      <c r="F431" t="s">
        <v>12</v>
      </c>
      <c r="G431" t="s">
        <v>16</v>
      </c>
      <c r="H431" t="s">
        <v>16</v>
      </c>
      <c r="I431" t="str">
        <f t="shared" si="6"/>
        <v>COLCAJICA MERCANTIL SASGNCB</v>
      </c>
      <c r="J431" t="str">
        <f>VLOOKUP(I431,[1]Base!$I:$J,2,0)</f>
        <v>Lina del Mar Florez</v>
      </c>
    </row>
    <row r="432" spans="1:10">
      <c r="A432" t="s">
        <v>921</v>
      </c>
      <c r="B432" s="14">
        <v>1002954888</v>
      </c>
      <c r="C432" t="s">
        <v>5</v>
      </c>
      <c r="D432" t="s">
        <v>31</v>
      </c>
      <c r="E432" t="s">
        <v>496</v>
      </c>
      <c r="F432" t="s">
        <v>6</v>
      </c>
      <c r="G432" t="s">
        <v>16</v>
      </c>
      <c r="H432" t="s">
        <v>15</v>
      </c>
      <c r="I432" t="str">
        <f t="shared" si="6"/>
        <v>COLCAJICA MERCANTIL SASVANTI</v>
      </c>
      <c r="J432" t="str">
        <f>VLOOKUP(I432,[1]Base!$I:$J,2,0)</f>
        <v>Juan Carlos Pinilla</v>
      </c>
    </row>
    <row r="433" spans="1:11">
      <c r="A433" s="13" t="s">
        <v>703</v>
      </c>
      <c r="B433" s="14">
        <v>1003085102</v>
      </c>
      <c r="C433" t="s">
        <v>8</v>
      </c>
      <c r="D433" t="s">
        <v>243</v>
      </c>
      <c r="E433" t="s">
        <v>497</v>
      </c>
      <c r="F433" t="s">
        <v>6</v>
      </c>
      <c r="G433" t="s">
        <v>336</v>
      </c>
      <c r="H433" t="s">
        <v>336</v>
      </c>
      <c r="I433" t="str">
        <f t="shared" si="6"/>
        <v>COLCHONES EL DORADO SAVANTI</v>
      </c>
      <c r="J433" t="str">
        <f>VLOOKUP(I433,[1]Base!$I:$J,2,0)</f>
        <v>Juan Carlos Pinilla</v>
      </c>
      <c r="K433" t="s">
        <v>704</v>
      </c>
    </row>
    <row r="434" spans="1:11">
      <c r="A434" s="13" t="s">
        <v>703</v>
      </c>
      <c r="B434" s="14">
        <v>1003085102</v>
      </c>
      <c r="C434" t="s">
        <v>8</v>
      </c>
      <c r="D434" t="s">
        <v>243</v>
      </c>
      <c r="E434" t="s">
        <v>497</v>
      </c>
      <c r="F434" t="s">
        <v>12</v>
      </c>
      <c r="G434" t="s">
        <v>336</v>
      </c>
      <c r="H434" t="s">
        <v>16</v>
      </c>
      <c r="I434" t="str">
        <f t="shared" si="6"/>
        <v>COLCHONES EL DORADO SAGNCB</v>
      </c>
      <c r="J434" t="str">
        <f>VLOOKUP(I434,[1]Base!$I:$J,2,0)</f>
        <v>Lina del Mar Florez</v>
      </c>
      <c r="K434" t="s">
        <v>704</v>
      </c>
    </row>
    <row r="435" spans="1:11">
      <c r="A435" t="s">
        <v>751</v>
      </c>
      <c r="B435" s="14">
        <v>1003130655</v>
      </c>
      <c r="C435" t="s">
        <v>8</v>
      </c>
      <c r="D435" t="s">
        <v>316</v>
      </c>
      <c r="E435" t="s">
        <v>573</v>
      </c>
      <c r="F435" t="s">
        <v>6</v>
      </c>
      <c r="G435" t="s">
        <v>336</v>
      </c>
      <c r="H435" t="s">
        <v>336</v>
      </c>
      <c r="I435" t="str">
        <f t="shared" si="6"/>
        <v>COLCHONES STOPPING S.A.S.VANTI</v>
      </c>
      <c r="J435" t="str">
        <f>VLOOKUP(I435,[1]Base!$I:$J,2,0)</f>
        <v>Juan Carlos Pinilla</v>
      </c>
    </row>
    <row r="436" spans="1:11">
      <c r="A436" t="s">
        <v>752</v>
      </c>
      <c r="B436" s="14">
        <v>1000008276</v>
      </c>
      <c r="C436" t="s">
        <v>18</v>
      </c>
      <c r="D436" t="s">
        <v>33</v>
      </c>
      <c r="E436" t="s">
        <v>398</v>
      </c>
      <c r="F436" t="s">
        <v>12</v>
      </c>
      <c r="G436" t="s">
        <v>304</v>
      </c>
      <c r="H436" t="s">
        <v>16</v>
      </c>
      <c r="I436" t="str">
        <f t="shared" si="6"/>
        <v>COLOMBIANA DE COMERCIOGNCB</v>
      </c>
      <c r="J436" t="str">
        <f>VLOOKUP(I436,[1]Base!$I:$J,2,0)</f>
        <v>Lina del Mar Florez</v>
      </c>
    </row>
    <row r="437" spans="1:11">
      <c r="A437" t="s">
        <v>752</v>
      </c>
      <c r="B437" s="14">
        <v>1000008276</v>
      </c>
      <c r="C437" t="s">
        <v>18</v>
      </c>
      <c r="D437" t="s">
        <v>33</v>
      </c>
      <c r="E437" t="s">
        <v>398</v>
      </c>
      <c r="F437" t="s">
        <v>6</v>
      </c>
      <c r="G437" t="s">
        <v>304</v>
      </c>
      <c r="H437" t="s">
        <v>304</v>
      </c>
      <c r="I437" t="str">
        <f t="shared" si="6"/>
        <v>COLOMBIANA DE COMERCIOVANTI</v>
      </c>
      <c r="J437" t="str">
        <f>VLOOKUP(I437,[1]Base!$I:$J,2,0)</f>
        <v>Janneth Torres Hernandez</v>
      </c>
    </row>
    <row r="438" spans="1:11">
      <c r="A438" t="s">
        <v>922</v>
      </c>
      <c r="B438" s="14">
        <v>1003019596</v>
      </c>
      <c r="C438" t="s">
        <v>5</v>
      </c>
      <c r="D438" t="s">
        <v>157</v>
      </c>
      <c r="E438" t="s">
        <v>680</v>
      </c>
      <c r="F438" t="s">
        <v>17</v>
      </c>
      <c r="G438" t="s">
        <v>290</v>
      </c>
      <c r="H438" t="s">
        <v>290</v>
      </c>
      <c r="I438" t="str">
        <f t="shared" si="6"/>
        <v>COMERCIAL MEYER CESAR S.A.S ZOMACGNC</v>
      </c>
      <c r="J438" t="str">
        <f>VLOOKUP(I438,[1]Base!$I:$J,2,0)</f>
        <v>Lina del Mar Florez</v>
      </c>
    </row>
    <row r="439" spans="1:11">
      <c r="A439" t="s">
        <v>754</v>
      </c>
      <c r="B439" s="14">
        <v>1002919466</v>
      </c>
      <c r="C439" t="s">
        <v>5</v>
      </c>
      <c r="D439" t="s">
        <v>35</v>
      </c>
      <c r="E439" t="s">
        <v>575</v>
      </c>
      <c r="F439" t="s">
        <v>6</v>
      </c>
      <c r="G439" t="s">
        <v>22</v>
      </c>
      <c r="H439" t="s">
        <v>22</v>
      </c>
      <c r="I439" t="str">
        <f t="shared" si="6"/>
        <v>Comercializadora de Motos Isaka S.A.S.VANTI</v>
      </c>
      <c r="J439" t="str">
        <f>VLOOKUP(I439,[1]Base!$I:$J,2,0)</f>
        <v>Juan Carlos Pinilla</v>
      </c>
    </row>
    <row r="440" spans="1:11">
      <c r="A440" t="s">
        <v>755</v>
      </c>
      <c r="B440" s="14">
        <v>1002919239</v>
      </c>
      <c r="C440" t="s">
        <v>36</v>
      </c>
      <c r="D440" t="s">
        <v>37</v>
      </c>
      <c r="E440" t="s">
        <v>399</v>
      </c>
      <c r="F440" t="s">
        <v>17</v>
      </c>
      <c r="G440" t="s">
        <v>290</v>
      </c>
      <c r="H440" t="s">
        <v>290</v>
      </c>
      <c r="I440" t="str">
        <f t="shared" si="6"/>
        <v>Comercializadora ElecktroasGNC</v>
      </c>
      <c r="J440" t="str">
        <f>VLOOKUP(I440,[1]Base!$I:$J,2,0)</f>
        <v>Lina del Mar Florez</v>
      </c>
    </row>
    <row r="441" spans="1:11">
      <c r="A441" t="s">
        <v>758</v>
      </c>
      <c r="B441" s="14">
        <v>1000008039</v>
      </c>
      <c r="C441" t="s">
        <v>8</v>
      </c>
      <c r="D441" t="s">
        <v>38</v>
      </c>
      <c r="E441" t="s">
        <v>401</v>
      </c>
      <c r="F441" t="s">
        <v>12</v>
      </c>
      <c r="G441" t="s">
        <v>336</v>
      </c>
      <c r="H441" t="s">
        <v>13</v>
      </c>
      <c r="I441" t="str">
        <f t="shared" si="6"/>
        <v>COMPAÑÍA COLOMBIANA DE CERAMICA SASGNCB</v>
      </c>
      <c r="J441" t="str">
        <f>VLOOKUP(I441,[1]Base!$I:$J,2,0)</f>
        <v>Lina del Mar Florez</v>
      </c>
    </row>
    <row r="442" spans="1:11">
      <c r="A442" t="s">
        <v>913</v>
      </c>
      <c r="B442" s="14">
        <v>1002966197</v>
      </c>
      <c r="C442" t="s">
        <v>5</v>
      </c>
      <c r="D442" t="s">
        <v>40</v>
      </c>
      <c r="E442" t="s">
        <v>491</v>
      </c>
      <c r="F442" t="s">
        <v>17</v>
      </c>
      <c r="G442" t="s">
        <v>305</v>
      </c>
      <c r="H442" t="s">
        <v>290</v>
      </c>
      <c r="I442" t="str">
        <f t="shared" si="6"/>
        <v>COMPAÑÍA DE SERVICIOS ARENAS ROJAS SASGNC</v>
      </c>
      <c r="J442" t="str">
        <f>VLOOKUP(I442,[1]Base!$I:$J,2,0)</f>
        <v>Lina del Mar Florez</v>
      </c>
    </row>
    <row r="443" spans="1:11">
      <c r="A443" t="s">
        <v>760</v>
      </c>
      <c r="B443" s="14">
        <v>1003018803</v>
      </c>
      <c r="C443" t="s">
        <v>5</v>
      </c>
      <c r="D443" t="s">
        <v>143</v>
      </c>
      <c r="E443" t="s">
        <v>577</v>
      </c>
      <c r="F443" t="s">
        <v>6</v>
      </c>
      <c r="G443" t="s">
        <v>15</v>
      </c>
      <c r="H443" t="s">
        <v>15</v>
      </c>
      <c r="I443" t="str">
        <f t="shared" si="6"/>
        <v>Compañía Nacional de Motocicletas S.A.S.VANTI</v>
      </c>
      <c r="J443" t="str">
        <f>VLOOKUP(I443,[1]Base!$I:$J,2,0)</f>
        <v>Juan Carlos Pinilla</v>
      </c>
    </row>
    <row r="444" spans="1:11">
      <c r="A444" t="s">
        <v>763</v>
      </c>
      <c r="B444" s="14">
        <v>1003073169</v>
      </c>
      <c r="C444" t="s">
        <v>5</v>
      </c>
      <c r="D444" t="s">
        <v>293</v>
      </c>
      <c r="E444" t="s">
        <v>578</v>
      </c>
      <c r="F444" t="s">
        <v>6</v>
      </c>
      <c r="G444" t="s">
        <v>22</v>
      </c>
      <c r="H444" t="s">
        <v>22</v>
      </c>
      <c r="I444" t="str">
        <f t="shared" si="6"/>
        <v>COONDOR MOBILITY S.A.SVANTI</v>
      </c>
      <c r="J444" t="str">
        <f>VLOOKUP(I444,[1]Base!$I:$J,2,0)</f>
        <v>Juan Carlos Pinilla</v>
      </c>
    </row>
    <row r="445" spans="1:11">
      <c r="A445" t="s">
        <v>765</v>
      </c>
      <c r="B445" s="14">
        <v>1002974513</v>
      </c>
      <c r="C445" t="s">
        <v>5</v>
      </c>
      <c r="D445" t="s">
        <v>122</v>
      </c>
      <c r="E445" t="s">
        <v>579</v>
      </c>
      <c r="F445" t="s">
        <v>12</v>
      </c>
      <c r="G445" t="s">
        <v>22</v>
      </c>
      <c r="H445" t="s">
        <v>13</v>
      </c>
      <c r="I445" t="str">
        <f t="shared" si="6"/>
        <v>Credimotos de Colombia S.A.S.GNCB</v>
      </c>
      <c r="J445" t="str">
        <f>VLOOKUP(I445,[1]Base!$I:$J,2,0)</f>
        <v>Lina del Mar Florez</v>
      </c>
    </row>
    <row r="446" spans="1:11">
      <c r="A446" t="s">
        <v>765</v>
      </c>
      <c r="B446" s="14">
        <v>1002974513</v>
      </c>
      <c r="C446" t="s">
        <v>5</v>
      </c>
      <c r="D446" t="s">
        <v>122</v>
      </c>
      <c r="E446" t="s">
        <v>579</v>
      </c>
      <c r="F446" t="s">
        <v>6</v>
      </c>
      <c r="G446" t="s">
        <v>22</v>
      </c>
      <c r="H446" t="s">
        <v>22</v>
      </c>
      <c r="I446" t="str">
        <f t="shared" si="6"/>
        <v>Credimotos de Colombia S.A.S.VANTI</v>
      </c>
      <c r="J446" t="str">
        <f>VLOOKUP(I446,[1]Base!$I:$J,2,0)</f>
        <v>Juan Carlos Pinilla</v>
      </c>
    </row>
    <row r="447" spans="1:11">
      <c r="A447" t="s">
        <v>767</v>
      </c>
      <c r="B447" s="14">
        <v>1002977628</v>
      </c>
      <c r="C447" t="s">
        <v>5</v>
      </c>
      <c r="D447" t="s">
        <v>110</v>
      </c>
      <c r="E447" t="s">
        <v>580</v>
      </c>
      <c r="F447" t="s">
        <v>12</v>
      </c>
      <c r="G447" t="s">
        <v>15</v>
      </c>
      <c r="H447" t="s">
        <v>13</v>
      </c>
      <c r="I447" t="str">
        <f t="shared" si="6"/>
        <v>Credimovil de Colombia S.A.S.GNCB</v>
      </c>
      <c r="J447" t="str">
        <f>VLOOKUP(I447,[1]Base!$I:$J,2,0)</f>
        <v>Lina del Mar Florez</v>
      </c>
    </row>
    <row r="448" spans="1:11">
      <c r="A448" t="s">
        <v>767</v>
      </c>
      <c r="B448" s="14">
        <v>1002977628</v>
      </c>
      <c r="C448" t="s">
        <v>5</v>
      </c>
      <c r="D448" t="s">
        <v>110</v>
      </c>
      <c r="E448" t="s">
        <v>580</v>
      </c>
      <c r="F448" t="s">
        <v>6</v>
      </c>
      <c r="G448" t="s">
        <v>15</v>
      </c>
      <c r="H448" t="s">
        <v>15</v>
      </c>
      <c r="I448" t="str">
        <f t="shared" si="6"/>
        <v>Credimovil de Colombia S.A.S.VANTI</v>
      </c>
      <c r="J448" t="str">
        <f>VLOOKUP(I448,[1]Base!$I:$J,2,0)</f>
        <v>Juan Carlos Pinilla</v>
      </c>
    </row>
    <row r="449" spans="1:10">
      <c r="A449" t="s">
        <v>768</v>
      </c>
      <c r="B449" s="14">
        <v>1002915727</v>
      </c>
      <c r="C449" t="s">
        <v>8</v>
      </c>
      <c r="D449" t="s">
        <v>43</v>
      </c>
      <c r="E449" t="s">
        <v>581</v>
      </c>
      <c r="F449" t="s">
        <v>6</v>
      </c>
      <c r="G449" t="s">
        <v>20</v>
      </c>
      <c r="H449" t="s">
        <v>20</v>
      </c>
      <c r="I449" t="str">
        <f t="shared" si="6"/>
        <v>Decorados y Acabados Ceramicos S.A.S.VANTI</v>
      </c>
      <c r="J449" t="str">
        <f>VLOOKUP(I449,[1]Base!$I:$J,2,0)</f>
        <v>Juan Carlos Pinilla</v>
      </c>
    </row>
    <row r="450" spans="1:10">
      <c r="A450" t="s">
        <v>769</v>
      </c>
      <c r="B450" s="14">
        <v>1002915914</v>
      </c>
      <c r="C450" t="s">
        <v>5</v>
      </c>
      <c r="D450" t="s">
        <v>44</v>
      </c>
      <c r="E450" t="s">
        <v>582</v>
      </c>
      <c r="F450" t="s">
        <v>6</v>
      </c>
      <c r="G450" t="s">
        <v>15</v>
      </c>
      <c r="H450" t="s">
        <v>15</v>
      </c>
      <c r="I450" t="str">
        <f t="shared" si="6"/>
        <v>Digimotos de Colombia S.A.S.VANTI</v>
      </c>
      <c r="J450" t="str">
        <f>VLOOKUP(I450,[1]Base!$I:$J,2,0)</f>
        <v>Juan Carlos Pinilla</v>
      </c>
    </row>
    <row r="451" spans="1:10">
      <c r="A451" t="s">
        <v>750</v>
      </c>
      <c r="B451" s="14">
        <v>1002917101</v>
      </c>
      <c r="C451" t="s">
        <v>8</v>
      </c>
      <c r="D451" t="s">
        <v>45</v>
      </c>
      <c r="E451" t="s">
        <v>583</v>
      </c>
      <c r="F451" t="s">
        <v>6</v>
      </c>
      <c r="G451" t="s">
        <v>20</v>
      </c>
      <c r="H451" t="s">
        <v>20</v>
      </c>
      <c r="I451" t="str">
        <f t="shared" ref="I451:I514" si="7">D451&amp;F451</f>
        <v>Discercol Group S.A.S.VANTI</v>
      </c>
      <c r="J451" t="str">
        <f>VLOOKUP(I451,[1]Base!$I:$J,2,0)</f>
        <v>Juan Carlos Pinilla</v>
      </c>
    </row>
    <row r="452" spans="1:10">
      <c r="A452" t="s">
        <v>772</v>
      </c>
      <c r="B452" s="14">
        <v>1003082935</v>
      </c>
      <c r="C452" t="s">
        <v>5</v>
      </c>
      <c r="D452" t="s">
        <v>224</v>
      </c>
      <c r="E452" t="s">
        <v>408</v>
      </c>
      <c r="F452" t="s">
        <v>6</v>
      </c>
      <c r="G452" t="s">
        <v>22</v>
      </c>
      <c r="H452" t="s">
        <v>22</v>
      </c>
      <c r="I452" t="str">
        <f t="shared" si="7"/>
        <v>DISMERCA SASVANTI</v>
      </c>
      <c r="J452" t="str">
        <f>VLOOKUP(I452,[1]Base!$I:$J,2,0)</f>
        <v>Juan Carlos Pinilla</v>
      </c>
    </row>
    <row r="453" spans="1:10">
      <c r="A453" t="s">
        <v>776</v>
      </c>
      <c r="B453" s="14">
        <v>10000088242</v>
      </c>
      <c r="C453" t="s">
        <v>8</v>
      </c>
      <c r="D453" t="s">
        <v>222</v>
      </c>
      <c r="E453" t="s">
        <v>528</v>
      </c>
      <c r="F453" t="s">
        <v>17</v>
      </c>
      <c r="G453" t="s">
        <v>305</v>
      </c>
      <c r="H453" t="s">
        <v>290</v>
      </c>
      <c r="I453" t="str">
        <f t="shared" si="7"/>
        <v>DISTRIBUIDORA REX S.A.S.GNC</v>
      </c>
      <c r="J453" t="str">
        <f>VLOOKUP(I453,[1]Base!$I:$J,2,0)</f>
        <v>Lina del Mar Florez</v>
      </c>
    </row>
    <row r="454" spans="1:10">
      <c r="A454" t="s">
        <v>776</v>
      </c>
      <c r="B454" s="14">
        <v>10000088242</v>
      </c>
      <c r="C454" t="s">
        <v>8</v>
      </c>
      <c r="D454" t="s">
        <v>222</v>
      </c>
      <c r="E454" t="s">
        <v>528</v>
      </c>
      <c r="F454" t="s">
        <v>12</v>
      </c>
      <c r="G454" t="s">
        <v>305</v>
      </c>
      <c r="H454" t="s">
        <v>13</v>
      </c>
      <c r="I454" t="str">
        <f t="shared" si="7"/>
        <v>DISTRIBUIDORA REX S.A.S.GNCB</v>
      </c>
      <c r="J454" t="str">
        <f>VLOOKUP(I454,[1]Base!$I:$J,2,0)</f>
        <v>Lina del Mar Florez</v>
      </c>
    </row>
    <row r="455" spans="1:10">
      <c r="A455" t="s">
        <v>777</v>
      </c>
      <c r="B455" s="14">
        <v>1002870071</v>
      </c>
      <c r="C455" t="s">
        <v>8</v>
      </c>
      <c r="D455" t="s">
        <v>242</v>
      </c>
      <c r="E455" t="s">
        <v>587</v>
      </c>
      <c r="F455" t="s">
        <v>12</v>
      </c>
      <c r="G455" t="s">
        <v>16</v>
      </c>
      <c r="H455" t="s">
        <v>16</v>
      </c>
      <c r="I455" t="str">
        <f t="shared" si="7"/>
        <v>DISTRICERAMICAS BLAPER S.AGNCB</v>
      </c>
      <c r="J455" t="str">
        <f>VLOOKUP(I455,[1]Base!$I:$J,2,0)</f>
        <v>Lina del Mar Florez</v>
      </c>
    </row>
    <row r="456" spans="1:10">
      <c r="A456" t="s">
        <v>778</v>
      </c>
      <c r="B456" s="14">
        <v>1003003846</v>
      </c>
      <c r="C456" t="s">
        <v>5</v>
      </c>
      <c r="D456" t="s">
        <v>166</v>
      </c>
      <c r="E456" t="s">
        <v>588</v>
      </c>
      <c r="F456" t="s">
        <v>17</v>
      </c>
      <c r="G456" t="s">
        <v>290</v>
      </c>
      <c r="H456" t="s">
        <v>290</v>
      </c>
      <c r="I456" t="str">
        <f t="shared" si="7"/>
        <v>Districolmotos S.A.SGNC</v>
      </c>
      <c r="J456" t="str">
        <f>VLOOKUP(I456,[1]Base!$I:$J,2,0)</f>
        <v>Lina del Mar Florez</v>
      </c>
    </row>
    <row r="457" spans="1:10">
      <c r="A457" t="s">
        <v>779</v>
      </c>
      <c r="B457" s="14">
        <v>1002972131</v>
      </c>
      <c r="C457" t="s">
        <v>5</v>
      </c>
      <c r="D457" t="s">
        <v>49</v>
      </c>
      <c r="E457" t="s">
        <v>589</v>
      </c>
      <c r="F457" t="s">
        <v>12</v>
      </c>
      <c r="G457" t="s">
        <v>13</v>
      </c>
      <c r="H457" t="s">
        <v>13</v>
      </c>
      <c r="I457" t="str">
        <f t="shared" si="7"/>
        <v>DISTRIMOTOS DE COLOMBIA S.A.SGNCB</v>
      </c>
      <c r="J457" t="str">
        <f>VLOOKUP(I457,[1]Base!$I:$J,2,0)</f>
        <v>Lina del Mar Florez</v>
      </c>
    </row>
    <row r="458" spans="1:10">
      <c r="A458" t="s">
        <v>779</v>
      </c>
      <c r="B458" s="14">
        <v>1002972131</v>
      </c>
      <c r="C458" t="s">
        <v>5</v>
      </c>
      <c r="D458" t="s">
        <v>49</v>
      </c>
      <c r="E458" t="s">
        <v>589</v>
      </c>
      <c r="F458" t="s">
        <v>17</v>
      </c>
      <c r="G458" t="s">
        <v>13</v>
      </c>
      <c r="H458" t="s">
        <v>290</v>
      </c>
      <c r="I458" t="str">
        <f t="shared" si="7"/>
        <v>DISTRIMOTOS DE COLOMBIA S.A.SGNC</v>
      </c>
      <c r="J458" t="str">
        <f>VLOOKUP(I458,[1]Base!$I:$J,2,0)</f>
        <v>Lina del Mar Florez</v>
      </c>
    </row>
    <row r="459" spans="1:10">
      <c r="A459" t="s">
        <v>780</v>
      </c>
      <c r="B459" s="14">
        <v>1002957877</v>
      </c>
      <c r="C459" t="s">
        <v>8</v>
      </c>
      <c r="D459" t="s">
        <v>50</v>
      </c>
      <c r="E459" t="s">
        <v>590</v>
      </c>
      <c r="F459" t="s">
        <v>17</v>
      </c>
      <c r="G459" t="s">
        <v>290</v>
      </c>
      <c r="H459" t="s">
        <v>290</v>
      </c>
      <c r="I459" t="str">
        <f t="shared" si="7"/>
        <v>DISTRITODO VS S.A.SGNC</v>
      </c>
      <c r="J459" t="str">
        <f>VLOOKUP(I459,[1]Base!$I:$J,2,0)</f>
        <v>Lina del Mar Florez</v>
      </c>
    </row>
    <row r="460" spans="1:10">
      <c r="A460" t="s">
        <v>781</v>
      </c>
      <c r="B460" s="14">
        <v>1002953625</v>
      </c>
      <c r="C460" t="s">
        <v>5</v>
      </c>
      <c r="D460" t="s">
        <v>51</v>
      </c>
      <c r="E460" t="s">
        <v>591</v>
      </c>
      <c r="F460" t="s">
        <v>6</v>
      </c>
      <c r="G460" t="s">
        <v>15</v>
      </c>
      <c r="H460" t="s">
        <v>15</v>
      </c>
      <c r="I460" t="str">
        <f t="shared" si="7"/>
        <v>DIVERXA S.A.SVANTI</v>
      </c>
      <c r="J460" t="str">
        <f>VLOOKUP(I460,[1]Base!$I:$J,2,0)</f>
        <v>Juan Carlos Pinilla</v>
      </c>
    </row>
    <row r="461" spans="1:10">
      <c r="A461" t="s">
        <v>781</v>
      </c>
      <c r="B461" s="14">
        <v>1002953625</v>
      </c>
      <c r="C461" t="s">
        <v>5</v>
      </c>
      <c r="D461" t="s">
        <v>51</v>
      </c>
      <c r="E461" t="s">
        <v>591</v>
      </c>
      <c r="F461" t="s">
        <v>12</v>
      </c>
      <c r="G461" t="s">
        <v>15</v>
      </c>
      <c r="H461" t="s">
        <v>13</v>
      </c>
      <c r="I461" t="str">
        <f t="shared" si="7"/>
        <v>DIVERXA S.A.SGNCB</v>
      </c>
      <c r="J461" t="str">
        <f>VLOOKUP(I461,[1]Base!$I:$J,2,0)</f>
        <v>Lina del Mar Florez</v>
      </c>
    </row>
    <row r="462" spans="1:10">
      <c r="A462" t="s">
        <v>923</v>
      </c>
      <c r="B462" s="14">
        <v>1002161062</v>
      </c>
      <c r="C462" t="s">
        <v>36</v>
      </c>
      <c r="D462" t="s">
        <v>53</v>
      </c>
      <c r="E462" t="s">
        <v>498</v>
      </c>
      <c r="F462" t="s">
        <v>12</v>
      </c>
      <c r="G462" t="s">
        <v>13</v>
      </c>
      <c r="H462" t="s">
        <v>13</v>
      </c>
      <c r="I462" t="str">
        <f t="shared" si="7"/>
        <v>EDWAR TOVAR SANCHEZGNCB</v>
      </c>
      <c r="J462" t="str">
        <f>VLOOKUP(I462,[1]Base!$I:$J,2,0)</f>
        <v>Lina del Mar Florez</v>
      </c>
    </row>
    <row r="463" spans="1:10">
      <c r="A463" t="s">
        <v>923</v>
      </c>
      <c r="B463" s="14">
        <v>1002161062</v>
      </c>
      <c r="C463" t="s">
        <v>36</v>
      </c>
      <c r="D463" t="s">
        <v>53</v>
      </c>
      <c r="E463" t="s">
        <v>498</v>
      </c>
      <c r="F463" t="s">
        <v>6</v>
      </c>
      <c r="G463" t="s">
        <v>13</v>
      </c>
      <c r="H463" t="s">
        <v>336</v>
      </c>
      <c r="I463" t="str">
        <f t="shared" si="7"/>
        <v>EDWAR TOVAR SANCHEZVANTI</v>
      </c>
      <c r="J463" t="str">
        <f>VLOOKUP(I463,[1]Base!$I:$J,2,0)</f>
        <v>Juan Carlos Pinilla</v>
      </c>
    </row>
    <row r="464" spans="1:10">
      <c r="A464" t="s">
        <v>784</v>
      </c>
      <c r="B464" s="14">
        <v>1003008204</v>
      </c>
      <c r="C464" t="s">
        <v>8</v>
      </c>
      <c r="D464" t="s">
        <v>140</v>
      </c>
      <c r="E464" t="s">
        <v>594</v>
      </c>
      <c r="F464" t="s">
        <v>12</v>
      </c>
      <c r="G464" t="s">
        <v>15</v>
      </c>
      <c r="H464" t="s">
        <v>16</v>
      </c>
      <c r="I464" t="str">
        <f t="shared" si="7"/>
        <v>Electric World S.A.S.GNCB</v>
      </c>
      <c r="J464" t="str">
        <f>VLOOKUP(I464,[1]Base!$I:$J,2,0)</f>
        <v>Lina del Mar Florez</v>
      </c>
    </row>
    <row r="465" spans="1:11">
      <c r="A465" t="s">
        <v>785</v>
      </c>
      <c r="B465" s="14">
        <v>1000024431</v>
      </c>
      <c r="C465" t="s">
        <v>36</v>
      </c>
      <c r="D465" t="s">
        <v>55</v>
      </c>
      <c r="E465" t="s">
        <v>595</v>
      </c>
      <c r="F465" t="s">
        <v>17</v>
      </c>
      <c r="G465" t="s">
        <v>290</v>
      </c>
      <c r="H465" t="s">
        <v>290</v>
      </c>
      <c r="I465" t="str">
        <f t="shared" si="7"/>
        <v>ELECTRO AO S.A.SGNC</v>
      </c>
      <c r="J465" t="str">
        <f>VLOOKUP(I465,[1]Base!$I:$J,2,0)</f>
        <v>Lina del Mar Florez</v>
      </c>
    </row>
    <row r="466" spans="1:11">
      <c r="A466" t="s">
        <v>787</v>
      </c>
      <c r="B466" s="14">
        <v>1003156874</v>
      </c>
      <c r="C466" t="s">
        <v>8</v>
      </c>
      <c r="D466" t="s">
        <v>315</v>
      </c>
      <c r="E466" t="s">
        <v>411</v>
      </c>
      <c r="F466" t="s">
        <v>6</v>
      </c>
      <c r="G466" t="s">
        <v>20</v>
      </c>
      <c r="H466" t="s">
        <v>20</v>
      </c>
      <c r="I466" t="str">
        <f t="shared" si="7"/>
        <v>ELECTROFERIA DE LA CARRERA 13 SASVANTI</v>
      </c>
      <c r="J466" t="str">
        <f>VLOOKUP(I466,[1]Base!$I:$J,2,0)</f>
        <v>Juan Carlos Pinilla</v>
      </c>
    </row>
    <row r="467" spans="1:11">
      <c r="A467" t="s">
        <v>788</v>
      </c>
      <c r="B467" s="14">
        <v>1003082538</v>
      </c>
      <c r="C467" t="s">
        <v>8</v>
      </c>
      <c r="D467" t="s">
        <v>237</v>
      </c>
      <c r="E467" t="s">
        <v>597</v>
      </c>
      <c r="F467" t="s">
        <v>6</v>
      </c>
      <c r="G467" t="s">
        <v>20</v>
      </c>
      <c r="H467" t="s">
        <v>20</v>
      </c>
      <c r="I467" t="str">
        <f t="shared" si="7"/>
        <v>EUROPUNTO J.J. SASVANTI</v>
      </c>
      <c r="J467" t="str">
        <f>VLOOKUP(I467,[1]Base!$I:$J,2,0)</f>
        <v>Juan Carlos Pinilla</v>
      </c>
    </row>
    <row r="468" spans="1:11">
      <c r="A468" t="s">
        <v>794</v>
      </c>
      <c r="B468" s="14">
        <v>1003079979</v>
      </c>
      <c r="C468" t="s">
        <v>8</v>
      </c>
      <c r="D468" t="s">
        <v>239</v>
      </c>
      <c r="E468" t="s">
        <v>531</v>
      </c>
      <c r="F468" t="s">
        <v>12</v>
      </c>
      <c r="G468" t="s">
        <v>16</v>
      </c>
      <c r="H468" t="s">
        <v>16</v>
      </c>
      <c r="I468" t="str">
        <f t="shared" si="7"/>
        <v>FULL HOME BC S.A.SGNCB</v>
      </c>
      <c r="J468" t="str">
        <f>VLOOKUP(I468,[1]Base!$I:$J,2,0)</f>
        <v>Lina del Mar Florez</v>
      </c>
    </row>
    <row r="469" spans="1:11">
      <c r="A469" t="s">
        <v>797</v>
      </c>
      <c r="B469" s="14">
        <v>1002980344</v>
      </c>
      <c r="C469" t="s">
        <v>8</v>
      </c>
      <c r="D469" t="s">
        <v>149</v>
      </c>
      <c r="E469" t="s">
        <v>419</v>
      </c>
      <c r="F469" t="s">
        <v>17</v>
      </c>
      <c r="G469" t="s">
        <v>290</v>
      </c>
      <c r="H469" t="s">
        <v>290</v>
      </c>
      <c r="I469" t="str">
        <f t="shared" si="7"/>
        <v>GELVER ANTONIO ORTEGA SANCHEZGNC</v>
      </c>
      <c r="J469" t="str">
        <f>VLOOKUP(I469,[1]Base!$I:$J,2,0)</f>
        <v>Lina del Mar Florez</v>
      </c>
    </row>
    <row r="470" spans="1:11">
      <c r="A470" s="13" t="s">
        <v>705</v>
      </c>
      <c r="B470" s="14">
        <v>1002954577</v>
      </c>
      <c r="C470" t="s">
        <v>5</v>
      </c>
      <c r="D470" t="s">
        <v>214</v>
      </c>
      <c r="E470" t="s">
        <v>499</v>
      </c>
      <c r="F470" t="s">
        <v>12</v>
      </c>
      <c r="G470" t="s">
        <v>13</v>
      </c>
      <c r="H470" t="s">
        <v>13</v>
      </c>
      <c r="I470" t="str">
        <f t="shared" si="7"/>
        <v>GEORGES EL ACHKARGNCB</v>
      </c>
      <c r="J470" t="str">
        <f>VLOOKUP(I470,[1]Base!$I:$J,2,0)</f>
        <v>Lina del Mar Florez</v>
      </c>
      <c r="K470" t="s">
        <v>706</v>
      </c>
    </row>
    <row r="471" spans="1:11">
      <c r="A471" t="s">
        <v>798</v>
      </c>
      <c r="B471" s="14">
        <v>1002915744</v>
      </c>
      <c r="C471" t="s">
        <v>36</v>
      </c>
      <c r="D471" t="s">
        <v>59</v>
      </c>
      <c r="E471" t="s">
        <v>604</v>
      </c>
      <c r="F471" t="s">
        <v>6</v>
      </c>
      <c r="G471" t="s">
        <v>16</v>
      </c>
      <c r="H471" t="s">
        <v>20</v>
      </c>
      <c r="I471" t="str">
        <f t="shared" si="7"/>
        <v>GLOBAL DANACOR S.A.S VANTI</v>
      </c>
      <c r="J471" t="str">
        <f>VLOOKUP(I471,[1]Base!$I:$J,2,0)</f>
        <v>Juan Carlos Pinilla</v>
      </c>
    </row>
    <row r="472" spans="1:11">
      <c r="A472" t="s">
        <v>799</v>
      </c>
      <c r="B472" s="14">
        <v>1000008537</v>
      </c>
      <c r="C472" t="s">
        <v>8</v>
      </c>
      <c r="D472" t="s">
        <v>60</v>
      </c>
      <c r="E472" t="s">
        <v>421</v>
      </c>
      <c r="F472" t="s">
        <v>12</v>
      </c>
      <c r="G472" t="s">
        <v>20</v>
      </c>
      <c r="H472" t="s">
        <v>16</v>
      </c>
      <c r="I472" t="str">
        <f t="shared" si="7"/>
        <v>GNP GRUPO NACIONAL DE PROYECTOS S A SGNCB</v>
      </c>
      <c r="J472" t="str">
        <f>VLOOKUP(I472,[1]Base!$I:$J,2,0)</f>
        <v>Lina del Mar Florez</v>
      </c>
    </row>
    <row r="473" spans="1:11">
      <c r="A473" t="s">
        <v>801</v>
      </c>
      <c r="B473" s="14">
        <v>1003019591</v>
      </c>
      <c r="C473" t="s">
        <v>5</v>
      </c>
      <c r="D473" t="s">
        <v>163</v>
      </c>
      <c r="E473" t="s">
        <v>606</v>
      </c>
      <c r="F473" t="s">
        <v>6</v>
      </c>
      <c r="G473" t="s">
        <v>22</v>
      </c>
      <c r="H473" t="s">
        <v>22</v>
      </c>
      <c r="I473" t="str">
        <f t="shared" si="7"/>
        <v>Gomez y Cia S.A.S.VANTI</v>
      </c>
      <c r="J473" t="str">
        <f>VLOOKUP(I473,[1]Base!$I:$J,2,0)</f>
        <v>Juan Carlos Pinilla</v>
      </c>
    </row>
    <row r="474" spans="1:11">
      <c r="A474" t="s">
        <v>924</v>
      </c>
      <c r="B474" s="14">
        <v>1000007522</v>
      </c>
      <c r="C474" t="s">
        <v>8</v>
      </c>
      <c r="D474" t="s">
        <v>63</v>
      </c>
      <c r="E474" t="s">
        <v>681</v>
      </c>
      <c r="F474" t="s">
        <v>12</v>
      </c>
      <c r="G474" t="s">
        <v>20</v>
      </c>
      <c r="H474" t="s">
        <v>16</v>
      </c>
      <c r="I474" t="str">
        <f t="shared" si="7"/>
        <v>GRUPO MANSION S.A.S.GNCB</v>
      </c>
      <c r="J474" t="str">
        <f>VLOOKUP(I474,[1]Base!$I:$J,2,0)</f>
        <v>Lina del Mar Florez</v>
      </c>
    </row>
    <row r="475" spans="1:11">
      <c r="A475" t="s">
        <v>924</v>
      </c>
      <c r="B475" s="14">
        <v>1000007522</v>
      </c>
      <c r="C475" t="s">
        <v>8</v>
      </c>
      <c r="D475" t="s">
        <v>63</v>
      </c>
      <c r="E475" t="s">
        <v>681</v>
      </c>
      <c r="F475" t="s">
        <v>6</v>
      </c>
      <c r="G475" t="s">
        <v>20</v>
      </c>
      <c r="H475" t="s">
        <v>20</v>
      </c>
      <c r="I475" t="str">
        <f t="shared" si="7"/>
        <v>GRUPO MANSION S.A.S.VANTI</v>
      </c>
      <c r="J475" t="str">
        <f>VLOOKUP(I475,[1]Base!$I:$J,2,0)</f>
        <v>Juan Carlos Pinilla</v>
      </c>
    </row>
    <row r="476" spans="1:11">
      <c r="A476" t="s">
        <v>803</v>
      </c>
      <c r="B476" s="14">
        <v>1002920104</v>
      </c>
      <c r="C476" t="s">
        <v>36</v>
      </c>
      <c r="D476" t="s">
        <v>64</v>
      </c>
      <c r="E476" t="s">
        <v>608</v>
      </c>
      <c r="F476" t="s">
        <v>12</v>
      </c>
      <c r="G476" t="s">
        <v>20</v>
      </c>
      <c r="H476" t="s">
        <v>16</v>
      </c>
      <c r="I476" t="str">
        <f t="shared" si="7"/>
        <v>GRUPO MERPES S.A.SGNCB</v>
      </c>
      <c r="J476" t="str">
        <f>VLOOKUP(I476,[1]Base!$I:$J,2,0)</f>
        <v>Lina del Mar Florez</v>
      </c>
    </row>
    <row r="477" spans="1:11">
      <c r="A477" t="s">
        <v>803</v>
      </c>
      <c r="B477" s="14">
        <v>1002920104</v>
      </c>
      <c r="C477" t="s">
        <v>36</v>
      </c>
      <c r="D477" t="s">
        <v>64</v>
      </c>
      <c r="E477" t="s">
        <v>608</v>
      </c>
      <c r="F477" t="s">
        <v>6</v>
      </c>
      <c r="G477" t="s">
        <v>20</v>
      </c>
      <c r="H477" t="s">
        <v>20</v>
      </c>
      <c r="I477" t="str">
        <f t="shared" si="7"/>
        <v>GRUPO MERPES S.A.SVANTI</v>
      </c>
      <c r="J477" t="str">
        <f>VLOOKUP(I477,[1]Base!$I:$J,2,0)</f>
        <v>Juan Carlos Pinilla</v>
      </c>
    </row>
    <row r="478" spans="1:11">
      <c r="A478" t="s">
        <v>804</v>
      </c>
      <c r="B478" s="14">
        <v>1002965236</v>
      </c>
      <c r="C478" t="s">
        <v>5</v>
      </c>
      <c r="D478" t="s">
        <v>65</v>
      </c>
      <c r="E478" t="s">
        <v>609</v>
      </c>
      <c r="F478" t="s">
        <v>12</v>
      </c>
      <c r="G478" t="s">
        <v>22</v>
      </c>
      <c r="H478" t="s">
        <v>13</v>
      </c>
      <c r="I478" t="str">
        <f t="shared" si="7"/>
        <v>Grupo Supermotos S.A.S.GNCB</v>
      </c>
      <c r="J478" t="str">
        <f>VLOOKUP(I478,[1]Base!$I:$J,2,0)</f>
        <v>Lina del Mar Florez</v>
      </c>
    </row>
    <row r="479" spans="1:11">
      <c r="A479" t="s">
        <v>804</v>
      </c>
      <c r="B479" s="14">
        <v>1002965236</v>
      </c>
      <c r="C479" t="s">
        <v>5</v>
      </c>
      <c r="D479" t="s">
        <v>65</v>
      </c>
      <c r="E479" t="s">
        <v>609</v>
      </c>
      <c r="F479" t="s">
        <v>6</v>
      </c>
      <c r="G479" t="s">
        <v>22</v>
      </c>
      <c r="H479" t="s">
        <v>22</v>
      </c>
      <c r="I479" t="str">
        <f t="shared" si="7"/>
        <v>Grupo Supermotos S.A.S.VANTI</v>
      </c>
      <c r="J479" t="str">
        <f>VLOOKUP(I479,[1]Base!$I:$J,2,0)</f>
        <v>Juan Carlos Pinilla</v>
      </c>
    </row>
    <row r="480" spans="1:11">
      <c r="A480" t="s">
        <v>805</v>
      </c>
      <c r="B480" s="14">
        <v>1002994671</v>
      </c>
      <c r="C480" t="s">
        <v>5</v>
      </c>
      <c r="D480" t="s">
        <v>161</v>
      </c>
      <c r="E480" t="s">
        <v>610</v>
      </c>
      <c r="F480" t="s">
        <v>6</v>
      </c>
      <c r="G480" t="s">
        <v>15</v>
      </c>
      <c r="H480" t="s">
        <v>15</v>
      </c>
      <c r="I480" t="str">
        <f t="shared" si="7"/>
        <v>Grupo UMA S.A.S.VANTI</v>
      </c>
      <c r="J480" t="str">
        <f>VLOOKUP(I480,[1]Base!$I:$J,2,0)</f>
        <v>Juan Carlos Pinilla</v>
      </c>
    </row>
    <row r="481" spans="1:11">
      <c r="A481" t="s">
        <v>925</v>
      </c>
      <c r="B481" s="14">
        <v>1000022030</v>
      </c>
      <c r="C481" t="s">
        <v>8</v>
      </c>
      <c r="D481" t="s">
        <v>321</v>
      </c>
      <c r="E481" t="s">
        <v>682</v>
      </c>
      <c r="F481" t="s">
        <v>6</v>
      </c>
      <c r="G481" t="s">
        <v>20</v>
      </c>
      <c r="H481" t="s">
        <v>20</v>
      </c>
      <c r="I481" t="str">
        <f t="shared" si="7"/>
        <v>HIPERMERCADO CENTRAL DE ELECTRODOMESTICOS S.A.S HICEL S.A.SVANTI</v>
      </c>
      <c r="J481" t="str">
        <f>VLOOKUP(I481,[1]Base!$I:$J,2,0)</f>
        <v>Juan Carlos Pinilla</v>
      </c>
    </row>
    <row r="482" spans="1:11">
      <c r="A482" t="s">
        <v>810</v>
      </c>
      <c r="B482" s="14">
        <v>1003122805</v>
      </c>
      <c r="C482" t="s">
        <v>5</v>
      </c>
      <c r="D482" t="s">
        <v>308</v>
      </c>
      <c r="E482" t="s">
        <v>613</v>
      </c>
      <c r="F482" t="s">
        <v>6</v>
      </c>
      <c r="G482" t="s">
        <v>22</v>
      </c>
      <c r="H482" t="s">
        <v>22</v>
      </c>
      <c r="I482" t="str">
        <f t="shared" si="7"/>
        <v>HMCL COLOMBIA S.A.S.VANTI</v>
      </c>
      <c r="J482" t="str">
        <f>VLOOKUP(I482,[1]Base!$I:$J,2,0)</f>
        <v>Juan Carlos Pinilla</v>
      </c>
    </row>
    <row r="483" spans="1:11">
      <c r="A483" t="s">
        <v>810</v>
      </c>
      <c r="B483" s="14">
        <v>1003122805</v>
      </c>
      <c r="C483" t="s">
        <v>5</v>
      </c>
      <c r="D483" t="s">
        <v>308</v>
      </c>
      <c r="E483" t="s">
        <v>613</v>
      </c>
      <c r="F483" t="s">
        <v>12</v>
      </c>
      <c r="G483" t="s">
        <v>22</v>
      </c>
      <c r="H483" t="s">
        <v>13</v>
      </c>
      <c r="I483" t="str">
        <f t="shared" si="7"/>
        <v>HMCL COLOMBIA S.A.S.GNCB</v>
      </c>
      <c r="J483" t="str">
        <f>VLOOKUP(I483,[1]Base!$I:$J,2,0)</f>
        <v>Lina del Mar Florez</v>
      </c>
    </row>
    <row r="484" spans="1:11">
      <c r="A484" t="s">
        <v>812</v>
      </c>
      <c r="B484" s="14">
        <v>1003019048</v>
      </c>
      <c r="C484" t="s">
        <v>5</v>
      </c>
      <c r="D484" t="s">
        <v>173</v>
      </c>
      <c r="E484" t="s">
        <v>614</v>
      </c>
      <c r="F484" t="s">
        <v>6</v>
      </c>
      <c r="G484" t="s">
        <v>22</v>
      </c>
      <c r="H484" t="s">
        <v>22</v>
      </c>
      <c r="I484" t="str">
        <f t="shared" si="7"/>
        <v>Holding Motor Group S.A.S.VANTI</v>
      </c>
      <c r="J484" t="str">
        <f>VLOOKUP(I484,[1]Base!$I:$J,2,0)</f>
        <v>Juan Carlos Pinilla</v>
      </c>
    </row>
    <row r="485" spans="1:11">
      <c r="A485" t="s">
        <v>926</v>
      </c>
      <c r="B485" s="14">
        <v>1002869072</v>
      </c>
      <c r="C485" t="s">
        <v>8</v>
      </c>
      <c r="D485" t="s">
        <v>247</v>
      </c>
      <c r="E485" t="s">
        <v>546</v>
      </c>
      <c r="F485" t="s">
        <v>12</v>
      </c>
      <c r="G485" t="s">
        <v>20</v>
      </c>
      <c r="H485" t="s">
        <v>16</v>
      </c>
      <c r="I485" t="str">
        <f t="shared" si="7"/>
        <v>INACSA S.A.SGNCB</v>
      </c>
      <c r="J485" t="str">
        <f>VLOOKUP(I485,[1]Base!$I:$J,2,0)</f>
        <v>Lina del Mar Florez</v>
      </c>
    </row>
    <row r="486" spans="1:11">
      <c r="A486" t="s">
        <v>926</v>
      </c>
      <c r="B486" s="14">
        <v>1002869072</v>
      </c>
      <c r="C486" t="s">
        <v>8</v>
      </c>
      <c r="D486" t="s">
        <v>247</v>
      </c>
      <c r="E486" t="s">
        <v>546</v>
      </c>
      <c r="F486" t="s">
        <v>6</v>
      </c>
      <c r="G486" t="s">
        <v>20</v>
      </c>
      <c r="H486" t="s">
        <v>20</v>
      </c>
      <c r="I486" t="str">
        <f t="shared" si="7"/>
        <v>INACSA S.A.SVANTI</v>
      </c>
      <c r="J486" t="str">
        <f>VLOOKUP(I486,[1]Base!$I:$J,2,0)</f>
        <v>Juan Carlos Pinilla</v>
      </c>
    </row>
    <row r="487" spans="1:11">
      <c r="A487" s="13" t="s">
        <v>698</v>
      </c>
      <c r="B487" s="14">
        <v>1003046132</v>
      </c>
      <c r="C487" t="s">
        <v>5</v>
      </c>
      <c r="D487" t="s">
        <v>229</v>
      </c>
      <c r="E487" t="s">
        <v>431</v>
      </c>
      <c r="F487" t="s">
        <v>12</v>
      </c>
      <c r="G487" t="s">
        <v>16</v>
      </c>
      <c r="H487" t="s">
        <v>16</v>
      </c>
      <c r="I487" t="str">
        <f t="shared" si="7"/>
        <v>INVERSIONES GUTIERREZ HERNANDEZGNCB</v>
      </c>
      <c r="J487" t="str">
        <f>VLOOKUP(I487,[1]Base!$I:$J,2,0)</f>
        <v>Lina del Mar Florez</v>
      </c>
      <c r="K487" t="s">
        <v>697</v>
      </c>
    </row>
    <row r="488" spans="1:11">
      <c r="A488" t="s">
        <v>820</v>
      </c>
      <c r="B488" s="14">
        <v>1003105300</v>
      </c>
      <c r="C488" t="s">
        <v>8</v>
      </c>
      <c r="D488" t="s">
        <v>282</v>
      </c>
      <c r="E488" t="s">
        <v>433</v>
      </c>
      <c r="F488" t="s">
        <v>6</v>
      </c>
      <c r="G488" t="s">
        <v>20</v>
      </c>
      <c r="H488" t="s">
        <v>20</v>
      </c>
      <c r="I488" t="str">
        <f t="shared" si="7"/>
        <v>INVERSIONES INNOVAR DE COLOMBIA SAVANTI</v>
      </c>
      <c r="J488" t="str">
        <f>VLOOKUP(I488,[1]Base!$I:$J,2,0)</f>
        <v>Juan Carlos Pinilla</v>
      </c>
    </row>
    <row r="489" spans="1:11">
      <c r="A489" t="s">
        <v>693</v>
      </c>
      <c r="B489" s="14">
        <v>1003013225</v>
      </c>
      <c r="C489" t="s">
        <v>8</v>
      </c>
      <c r="D489" t="s">
        <v>256</v>
      </c>
      <c r="E489" t="s">
        <v>500</v>
      </c>
      <c r="F489" t="s">
        <v>6</v>
      </c>
      <c r="G489" t="s">
        <v>336</v>
      </c>
      <c r="H489" t="s">
        <v>336</v>
      </c>
      <c r="I489" t="str">
        <f t="shared" si="7"/>
        <v>INVERSIONES KASAMIA SASVANTI</v>
      </c>
      <c r="J489" t="str">
        <f>VLOOKUP(I489,[1]Base!$I:$J,2,0)</f>
        <v>Juan Carlos Pinilla</v>
      </c>
    </row>
    <row r="490" spans="1:11">
      <c r="A490" t="s">
        <v>693</v>
      </c>
      <c r="B490" s="14">
        <v>1003013225</v>
      </c>
      <c r="C490" t="s">
        <v>8</v>
      </c>
      <c r="D490" t="s">
        <v>256</v>
      </c>
      <c r="E490" t="s">
        <v>500</v>
      </c>
      <c r="F490" t="s">
        <v>12</v>
      </c>
      <c r="G490" t="s">
        <v>336</v>
      </c>
      <c r="H490" t="s">
        <v>16</v>
      </c>
      <c r="I490" t="str">
        <f t="shared" si="7"/>
        <v>INVERSIONES KASAMIA SASGNCB</v>
      </c>
      <c r="J490" t="str">
        <f>VLOOKUP(I490,[1]Base!$I:$J,2,0)</f>
        <v>Lina del Mar Florez</v>
      </c>
    </row>
    <row r="491" spans="1:11">
      <c r="A491" t="s">
        <v>824</v>
      </c>
      <c r="B491" s="14">
        <v>1002971020</v>
      </c>
      <c r="C491" t="s">
        <v>8</v>
      </c>
      <c r="D491" t="s">
        <v>70</v>
      </c>
      <c r="E491" t="s">
        <v>435</v>
      </c>
      <c r="F491" t="s">
        <v>12</v>
      </c>
      <c r="G491" t="s">
        <v>16</v>
      </c>
      <c r="H491" t="s">
        <v>16</v>
      </c>
      <c r="I491" t="str">
        <f t="shared" si="7"/>
        <v>INVERSIONES VILLARAIRAN SASGNCB</v>
      </c>
      <c r="J491" t="str">
        <f>VLOOKUP(I491,[1]Base!$I:$J,2,0)</f>
        <v>Lina del Mar Florez</v>
      </c>
    </row>
    <row r="492" spans="1:11">
      <c r="A492" t="s">
        <v>828</v>
      </c>
      <c r="B492" s="14">
        <v>1002917247</v>
      </c>
      <c r="C492" t="s">
        <v>8</v>
      </c>
      <c r="D492" t="s">
        <v>73</v>
      </c>
      <c r="E492" t="s">
        <v>437</v>
      </c>
      <c r="F492" t="s">
        <v>12</v>
      </c>
      <c r="G492" t="s">
        <v>16</v>
      </c>
      <c r="H492" t="s">
        <v>16</v>
      </c>
      <c r="I492" t="str">
        <f t="shared" si="7"/>
        <v>JHONATHAN FABIAN CASTRO OLMOSGNCB</v>
      </c>
      <c r="J492" t="str">
        <f>VLOOKUP(I492,[1]Base!$I:$J,2,0)</f>
        <v>Lina del Mar Florez</v>
      </c>
    </row>
    <row r="493" spans="1:11">
      <c r="A493" t="s">
        <v>831</v>
      </c>
      <c r="B493" s="14">
        <v>1002985788</v>
      </c>
      <c r="C493" t="s">
        <v>5</v>
      </c>
      <c r="D493" t="s">
        <v>116</v>
      </c>
      <c r="E493" t="s">
        <v>624</v>
      </c>
      <c r="F493" t="s">
        <v>6</v>
      </c>
      <c r="G493" t="s">
        <v>15</v>
      </c>
      <c r="H493" t="s">
        <v>15</v>
      </c>
      <c r="I493" t="str">
        <f t="shared" si="7"/>
        <v>Lobi Car S.A.S.VANTI</v>
      </c>
      <c r="J493" t="str">
        <f>VLOOKUP(I493,[1]Base!$I:$J,2,0)</f>
        <v>Juan Carlos Pinilla</v>
      </c>
    </row>
    <row r="494" spans="1:11">
      <c r="A494" t="s">
        <v>833</v>
      </c>
      <c r="B494" s="14">
        <v>1002958567</v>
      </c>
      <c r="C494" t="s">
        <v>8</v>
      </c>
      <c r="D494" t="s">
        <v>74</v>
      </c>
      <c r="E494" t="s">
        <v>443</v>
      </c>
      <c r="F494" t="s">
        <v>17</v>
      </c>
      <c r="G494" t="s">
        <v>290</v>
      </c>
      <c r="H494" t="s">
        <v>290</v>
      </c>
      <c r="I494" t="str">
        <f t="shared" si="7"/>
        <v>LUIS NAPOLEON CALDERON MENDOZAGNC</v>
      </c>
      <c r="J494" t="str">
        <f>VLOOKUP(I494,[1]Base!$I:$J,2,0)</f>
        <v>Lina del Mar Florez</v>
      </c>
    </row>
    <row r="495" spans="1:11">
      <c r="A495" t="s">
        <v>834</v>
      </c>
      <c r="B495" s="14">
        <v>1000008688</v>
      </c>
      <c r="C495" t="s">
        <v>36</v>
      </c>
      <c r="D495" t="s">
        <v>75</v>
      </c>
      <c r="E495" t="s">
        <v>444</v>
      </c>
      <c r="F495" t="s">
        <v>12</v>
      </c>
      <c r="G495" t="s">
        <v>13</v>
      </c>
      <c r="H495" t="s">
        <v>13</v>
      </c>
      <c r="I495" t="str">
        <f t="shared" si="7"/>
        <v>M&amp;F SUPER GAS SASGNCB</v>
      </c>
      <c r="J495" t="str">
        <f>VLOOKUP(I495,[1]Base!$I:$J,2,0)</f>
        <v>Lina del Mar Florez</v>
      </c>
    </row>
    <row r="496" spans="1:11">
      <c r="A496" t="s">
        <v>834</v>
      </c>
      <c r="B496" s="14">
        <v>1000008688</v>
      </c>
      <c r="C496" t="s">
        <v>36</v>
      </c>
      <c r="D496" t="s">
        <v>75</v>
      </c>
      <c r="E496" t="s">
        <v>444</v>
      </c>
      <c r="F496" t="s">
        <v>6</v>
      </c>
      <c r="G496" t="s">
        <v>13</v>
      </c>
      <c r="H496" t="s">
        <v>336</v>
      </c>
      <c r="I496" t="str">
        <f t="shared" si="7"/>
        <v>M&amp;F SUPER GAS SASVANTI</v>
      </c>
      <c r="J496" t="str">
        <f>VLOOKUP(I496,[1]Base!$I:$J,2,0)</f>
        <v>Juan Carlos Pinilla</v>
      </c>
    </row>
    <row r="497" spans="1:10">
      <c r="A497" t="s">
        <v>711</v>
      </c>
      <c r="B497" s="14">
        <v>1002994773</v>
      </c>
      <c r="C497" t="s">
        <v>5</v>
      </c>
      <c r="D497" t="s">
        <v>150</v>
      </c>
      <c r="E497" t="s">
        <v>625</v>
      </c>
      <c r="F497" t="s">
        <v>6</v>
      </c>
      <c r="G497" t="s">
        <v>336</v>
      </c>
      <c r="H497" t="s">
        <v>336</v>
      </c>
      <c r="I497" t="str">
        <f t="shared" si="7"/>
        <v>Macro Motos Golden S.A.S.VANTI</v>
      </c>
      <c r="J497" t="str">
        <f>VLOOKUP(I497,[1]Base!$I:$J,2,0)</f>
        <v>Juan Carlos Pinilla</v>
      </c>
    </row>
    <row r="498" spans="1:10">
      <c r="A498" t="s">
        <v>836</v>
      </c>
      <c r="B498" s="14">
        <v>1002953133</v>
      </c>
      <c r="C498" t="s">
        <v>5</v>
      </c>
      <c r="D498" t="s">
        <v>76</v>
      </c>
      <c r="E498" t="s">
        <v>446</v>
      </c>
      <c r="F498" t="s">
        <v>12</v>
      </c>
      <c r="G498" t="s">
        <v>13</v>
      </c>
      <c r="H498" t="s">
        <v>13</v>
      </c>
      <c r="I498" t="str">
        <f t="shared" si="7"/>
        <v>MAS QUE MOTOS SASGNCB</v>
      </c>
      <c r="J498" t="str">
        <f>VLOOKUP(I498,[1]Base!$I:$J,2,0)</f>
        <v>Lina del Mar Florez</v>
      </c>
    </row>
    <row r="499" spans="1:10">
      <c r="A499" t="s">
        <v>837</v>
      </c>
      <c r="B499" s="14">
        <v>1002950299</v>
      </c>
      <c r="C499" t="s">
        <v>5</v>
      </c>
      <c r="D499" t="s">
        <v>108</v>
      </c>
      <c r="E499" t="s">
        <v>626</v>
      </c>
      <c r="F499" t="s">
        <v>6</v>
      </c>
      <c r="G499" t="s">
        <v>22</v>
      </c>
      <c r="H499" t="s">
        <v>22</v>
      </c>
      <c r="I499" t="str">
        <f t="shared" si="7"/>
        <v>Masda S.A.S.VANTI</v>
      </c>
      <c r="J499" t="str">
        <f>VLOOKUP(I499,[1]Base!$I:$J,2,0)</f>
        <v>Juan Carlos Pinilla</v>
      </c>
    </row>
    <row r="500" spans="1:10">
      <c r="A500" t="s">
        <v>841</v>
      </c>
      <c r="B500" s="14">
        <v>1002831732</v>
      </c>
      <c r="C500" t="s">
        <v>8</v>
      </c>
      <c r="D500" t="s">
        <v>77</v>
      </c>
      <c r="E500" t="s">
        <v>450</v>
      </c>
      <c r="F500" t="s">
        <v>6</v>
      </c>
      <c r="G500" t="s">
        <v>336</v>
      </c>
      <c r="H500" t="s">
        <v>336</v>
      </c>
      <c r="I500" t="str">
        <f t="shared" si="7"/>
        <v>MATERIALES EMO SASVANTI</v>
      </c>
      <c r="J500" t="str">
        <f>VLOOKUP(I500,[1]Base!$I:$J,2,0)</f>
        <v>Juan Carlos Pinilla</v>
      </c>
    </row>
    <row r="501" spans="1:10">
      <c r="A501" t="s">
        <v>842</v>
      </c>
      <c r="B501" s="14">
        <v>1002754415</v>
      </c>
      <c r="C501" t="s">
        <v>8</v>
      </c>
      <c r="D501" t="s">
        <v>78</v>
      </c>
      <c r="E501" t="s">
        <v>451</v>
      </c>
      <c r="F501" t="s">
        <v>12</v>
      </c>
      <c r="G501" t="s">
        <v>20</v>
      </c>
      <c r="H501" t="s">
        <v>13</v>
      </c>
      <c r="I501" t="str">
        <f t="shared" si="7"/>
        <v>MAXICASSA SASGNCB</v>
      </c>
      <c r="J501" t="str">
        <f>VLOOKUP(I501,[1]Base!$I:$J,2,0)</f>
        <v>Lina del Mar Florez</v>
      </c>
    </row>
    <row r="502" spans="1:10">
      <c r="A502" t="s">
        <v>842</v>
      </c>
      <c r="B502" s="14">
        <v>1002754415</v>
      </c>
      <c r="C502" t="s">
        <v>8</v>
      </c>
      <c r="D502" t="s">
        <v>78</v>
      </c>
      <c r="E502" t="s">
        <v>451</v>
      </c>
      <c r="F502" t="s">
        <v>6</v>
      </c>
      <c r="G502" t="s">
        <v>20</v>
      </c>
      <c r="H502" t="s">
        <v>20</v>
      </c>
      <c r="I502" t="str">
        <f t="shared" si="7"/>
        <v>MAXICASSA SASVANTI</v>
      </c>
      <c r="J502" t="str">
        <f>VLOOKUP(I502,[1]Base!$I:$J,2,0)</f>
        <v>Juan Carlos Pinilla</v>
      </c>
    </row>
    <row r="503" spans="1:10">
      <c r="A503" t="s">
        <v>843</v>
      </c>
      <c r="B503" s="14">
        <v>1002864592</v>
      </c>
      <c r="C503" t="s">
        <v>36</v>
      </c>
      <c r="D503" t="s">
        <v>79</v>
      </c>
      <c r="E503" t="s">
        <v>452</v>
      </c>
      <c r="F503" t="s">
        <v>12</v>
      </c>
      <c r="G503" t="s">
        <v>305</v>
      </c>
      <c r="H503" t="s">
        <v>13</v>
      </c>
      <c r="I503" t="str">
        <f t="shared" si="7"/>
        <v>MAXIMUEBLES JC SASGNCB</v>
      </c>
      <c r="J503" t="str">
        <f>VLOOKUP(I503,[1]Base!$I:$J,2,0)</f>
        <v>Lina del Mar Florez</v>
      </c>
    </row>
    <row r="504" spans="1:10">
      <c r="A504" t="s">
        <v>846</v>
      </c>
      <c r="B504" s="14">
        <v>1003003843</v>
      </c>
      <c r="C504" t="s">
        <v>5</v>
      </c>
      <c r="D504" t="s">
        <v>137</v>
      </c>
      <c r="E504" t="s">
        <v>628</v>
      </c>
      <c r="F504" t="s">
        <v>6</v>
      </c>
      <c r="G504" t="s">
        <v>15</v>
      </c>
      <c r="H504" t="s">
        <v>15</v>
      </c>
      <c r="I504" t="str">
        <f t="shared" si="7"/>
        <v>Moto Auto Store S.A.S.VANTI</v>
      </c>
      <c r="J504" t="str">
        <f>VLOOKUP(I504,[1]Base!$I:$J,2,0)</f>
        <v>Juan Carlos Pinilla</v>
      </c>
    </row>
    <row r="505" spans="1:10">
      <c r="A505" t="s">
        <v>848</v>
      </c>
      <c r="B505" s="14">
        <v>1002999731</v>
      </c>
      <c r="C505" t="s">
        <v>5</v>
      </c>
      <c r="D505" t="s">
        <v>134</v>
      </c>
      <c r="E505" t="s">
        <v>630</v>
      </c>
      <c r="F505" t="s">
        <v>6</v>
      </c>
      <c r="G505" t="s">
        <v>22</v>
      </c>
      <c r="H505" t="s">
        <v>22</v>
      </c>
      <c r="I505" t="str">
        <f t="shared" si="7"/>
        <v>Moto Market Group S.A.S.VANTI</v>
      </c>
      <c r="J505" t="str">
        <f>VLOOKUP(I505,[1]Base!$I:$J,2,0)</f>
        <v>Juan Carlos Pinilla</v>
      </c>
    </row>
    <row r="506" spans="1:10">
      <c r="A506" t="s">
        <v>850</v>
      </c>
      <c r="B506" s="14">
        <v>1002945590</v>
      </c>
      <c r="C506" t="s">
        <v>5</v>
      </c>
      <c r="D506" t="s">
        <v>82</v>
      </c>
      <c r="E506" t="s">
        <v>633</v>
      </c>
      <c r="F506" t="s">
        <v>12</v>
      </c>
      <c r="G506" t="s">
        <v>16</v>
      </c>
      <c r="H506" t="s">
        <v>16</v>
      </c>
      <c r="I506" t="str">
        <f t="shared" si="7"/>
        <v>Moto Xtreme Hero S.A.S.GNCB</v>
      </c>
      <c r="J506" t="str">
        <f>VLOOKUP(I506,[1]Base!$I:$J,2,0)</f>
        <v>Lina del Mar Florez</v>
      </c>
    </row>
    <row r="507" spans="1:10">
      <c r="A507" t="s">
        <v>853</v>
      </c>
      <c r="B507" s="14">
        <v>1003090346</v>
      </c>
      <c r="C507" t="s">
        <v>5</v>
      </c>
      <c r="D507" t="s">
        <v>261</v>
      </c>
      <c r="E507" t="s">
        <v>635</v>
      </c>
      <c r="F507" t="s">
        <v>12</v>
      </c>
      <c r="G507" t="s">
        <v>15</v>
      </c>
      <c r="H507" t="s">
        <v>13</v>
      </c>
      <c r="I507" t="str">
        <f t="shared" si="7"/>
        <v>MOTORACING DE COLOMBIA S.A.S.GNCB</v>
      </c>
      <c r="J507" t="str">
        <f>VLOOKUP(I507,[1]Base!$I:$J,2,0)</f>
        <v>Lina del Mar Florez</v>
      </c>
    </row>
    <row r="508" spans="1:10">
      <c r="A508" t="s">
        <v>856</v>
      </c>
      <c r="B508" s="14">
        <v>1002919241</v>
      </c>
      <c r="C508" t="s">
        <v>5</v>
      </c>
      <c r="D508" t="s">
        <v>84</v>
      </c>
      <c r="E508" t="s">
        <v>638</v>
      </c>
      <c r="F508" t="s">
        <v>6</v>
      </c>
      <c r="G508" t="s">
        <v>22</v>
      </c>
      <c r="H508" t="s">
        <v>22</v>
      </c>
      <c r="I508" t="str">
        <f t="shared" si="7"/>
        <v>Motored de Colombia S.A.S.VANTI</v>
      </c>
      <c r="J508" t="str">
        <f>VLOOKUP(I508,[1]Base!$I:$J,2,0)</f>
        <v>Juan Carlos Pinilla</v>
      </c>
    </row>
    <row r="509" spans="1:10">
      <c r="A509" t="s">
        <v>858</v>
      </c>
      <c r="B509" s="14">
        <v>1003027586</v>
      </c>
      <c r="C509" t="s">
        <v>5</v>
      </c>
      <c r="D509" t="s">
        <v>177</v>
      </c>
      <c r="E509" t="s">
        <v>639</v>
      </c>
      <c r="F509" t="s">
        <v>12</v>
      </c>
      <c r="G509" t="s">
        <v>13</v>
      </c>
      <c r="H509" t="s">
        <v>13</v>
      </c>
      <c r="I509" t="str">
        <f t="shared" si="7"/>
        <v>MOTOS ACOSTA S.A.S.GNCB</v>
      </c>
      <c r="J509" t="str">
        <f>VLOOKUP(I509,[1]Base!$I:$J,2,0)</f>
        <v>Lina del Mar Florez</v>
      </c>
    </row>
    <row r="510" spans="1:10">
      <c r="A510" t="s">
        <v>860</v>
      </c>
      <c r="B510" s="14" t="s">
        <v>948</v>
      </c>
      <c r="C510" t="s">
        <v>5</v>
      </c>
      <c r="D510" t="s">
        <v>121</v>
      </c>
      <c r="E510" t="s">
        <v>456</v>
      </c>
      <c r="F510" t="s">
        <v>6</v>
      </c>
      <c r="G510" t="s">
        <v>22</v>
      </c>
      <c r="H510" t="s">
        <v>22</v>
      </c>
      <c r="I510" t="str">
        <f t="shared" si="7"/>
        <v>MOTOS DE LA BOYACA SASVANTI</v>
      </c>
      <c r="J510" t="str">
        <f>VLOOKUP(I510,[1]Base!$I:$J,2,0)</f>
        <v>Juan Carlos Pinilla</v>
      </c>
    </row>
    <row r="511" spans="1:10">
      <c r="A511" t="s">
        <v>861</v>
      </c>
      <c r="B511" s="14">
        <v>1003035082</v>
      </c>
      <c r="C511" t="s">
        <v>5</v>
      </c>
      <c r="D511" t="s">
        <v>178</v>
      </c>
      <c r="E511" t="s">
        <v>641</v>
      </c>
      <c r="F511" t="s">
        <v>6</v>
      </c>
      <c r="G511" t="s">
        <v>22</v>
      </c>
      <c r="H511" t="s">
        <v>22</v>
      </c>
      <c r="I511" t="str">
        <f t="shared" si="7"/>
        <v>Motos del Camino S.A.S.VANTI</v>
      </c>
      <c r="J511" t="str">
        <f>VLOOKUP(I511,[1]Base!$I:$J,2,0)</f>
        <v>Juan Carlos Pinilla</v>
      </c>
    </row>
    <row r="512" spans="1:10">
      <c r="A512" t="s">
        <v>862</v>
      </c>
      <c r="B512" s="14" t="s">
        <v>949</v>
      </c>
      <c r="C512" t="s">
        <v>5</v>
      </c>
      <c r="D512" t="s">
        <v>85</v>
      </c>
      <c r="E512" t="s">
        <v>457</v>
      </c>
      <c r="F512" t="s">
        <v>6</v>
      </c>
      <c r="G512" t="s">
        <v>15</v>
      </c>
      <c r="H512" t="s">
        <v>15</v>
      </c>
      <c r="I512" t="str">
        <f t="shared" si="7"/>
        <v>MOTOS DEL SUR BOGOTA SASVANTI</v>
      </c>
      <c r="J512" t="str">
        <f>VLOOKUP(I512,[1]Base!$I:$J,2,0)</f>
        <v>Juan Carlos Pinilla</v>
      </c>
    </row>
    <row r="513" spans="1:11">
      <c r="A513" t="s">
        <v>863</v>
      </c>
      <c r="B513" s="14">
        <v>1003003969</v>
      </c>
      <c r="C513" t="s">
        <v>5</v>
      </c>
      <c r="D513" t="s">
        <v>154</v>
      </c>
      <c r="E513" t="s">
        <v>642</v>
      </c>
      <c r="F513" t="s">
        <v>6</v>
      </c>
      <c r="G513" t="s">
        <v>15</v>
      </c>
      <c r="H513" t="s">
        <v>15</v>
      </c>
      <c r="I513" t="str">
        <f t="shared" si="7"/>
        <v>Motos del Tropico S.A.S.VANTI</v>
      </c>
      <c r="J513" t="str">
        <f>VLOOKUP(I513,[1]Base!$I:$J,2,0)</f>
        <v>Juan Carlos Pinilla</v>
      </c>
    </row>
    <row r="514" spans="1:11">
      <c r="A514" t="s">
        <v>927</v>
      </c>
      <c r="B514" s="14" t="s">
        <v>953</v>
      </c>
      <c r="C514" t="s">
        <v>5</v>
      </c>
      <c r="D514" t="s">
        <v>86</v>
      </c>
      <c r="E514" t="s">
        <v>501</v>
      </c>
      <c r="F514" t="s">
        <v>17</v>
      </c>
      <c r="G514" t="s">
        <v>290</v>
      </c>
      <c r="H514" t="s">
        <v>290</v>
      </c>
      <c r="I514" t="str">
        <f t="shared" si="7"/>
        <v>MOTOS GAP SASGNC</v>
      </c>
      <c r="J514" t="str">
        <f>VLOOKUP(I514,[1]Base!$I:$J,2,0)</f>
        <v>Lina del Mar Florez</v>
      </c>
    </row>
    <row r="515" spans="1:11">
      <c r="A515" t="s">
        <v>865</v>
      </c>
      <c r="B515" s="14" t="s">
        <v>950</v>
      </c>
      <c r="C515" t="s">
        <v>5</v>
      </c>
      <c r="D515" t="s">
        <v>87</v>
      </c>
      <c r="E515" t="s">
        <v>644</v>
      </c>
      <c r="F515" t="s">
        <v>6</v>
      </c>
      <c r="G515" t="s">
        <v>22</v>
      </c>
      <c r="H515" t="s">
        <v>22</v>
      </c>
      <c r="I515" t="str">
        <f t="shared" ref="I515:I578" si="8">D515&amp;F515</f>
        <v>Motos Naked S.A.S.VANTI</v>
      </c>
      <c r="J515" t="str">
        <f>VLOOKUP(I515,[1]Base!$I:$J,2,0)</f>
        <v>Juan Carlos Pinilla</v>
      </c>
    </row>
    <row r="516" spans="1:11">
      <c r="A516" s="13" t="s">
        <v>700</v>
      </c>
      <c r="B516" s="14">
        <v>1002981126</v>
      </c>
      <c r="C516" t="s">
        <v>5</v>
      </c>
      <c r="D516" t="s">
        <v>246</v>
      </c>
      <c r="E516" t="s">
        <v>537</v>
      </c>
      <c r="F516" t="s">
        <v>12</v>
      </c>
      <c r="G516" t="s">
        <v>13</v>
      </c>
      <c r="H516" t="s">
        <v>13</v>
      </c>
      <c r="I516" t="str">
        <f t="shared" si="8"/>
        <v>MOTOS Y REPUESTOS LA PRINCIPAL S.A.S.GNCB</v>
      </c>
      <c r="J516" t="str">
        <f>VLOOKUP(I516,[1]Base!$I:$J,2,0)</f>
        <v>Lina del Mar Florez</v>
      </c>
      <c r="K516" t="s">
        <v>699</v>
      </c>
    </row>
    <row r="517" spans="1:11">
      <c r="A517" t="s">
        <v>868</v>
      </c>
      <c r="B517" s="14">
        <v>1002970981</v>
      </c>
      <c r="C517" t="s">
        <v>5</v>
      </c>
      <c r="D517" t="s">
        <v>88</v>
      </c>
      <c r="E517" t="s">
        <v>645</v>
      </c>
      <c r="F517" t="s">
        <v>6</v>
      </c>
      <c r="G517" t="s">
        <v>22</v>
      </c>
      <c r="H517" t="s">
        <v>22</v>
      </c>
      <c r="I517" t="str">
        <f t="shared" si="8"/>
        <v>Motoselva Motocicletas S.A.S.VANTI</v>
      </c>
      <c r="J517" t="str">
        <f>VLOOKUP(I517,[1]Base!$I:$J,2,0)</f>
        <v>Juan Carlos Pinilla</v>
      </c>
    </row>
    <row r="518" spans="1:11">
      <c r="A518" t="s">
        <v>869</v>
      </c>
      <c r="B518" s="14">
        <v>1002957876</v>
      </c>
      <c r="C518" t="s">
        <v>5</v>
      </c>
      <c r="D518" t="s">
        <v>89</v>
      </c>
      <c r="E518" t="s">
        <v>460</v>
      </c>
      <c r="F518" t="s">
        <v>12</v>
      </c>
      <c r="G518" t="s">
        <v>13</v>
      </c>
      <c r="H518" t="s">
        <v>13</v>
      </c>
      <c r="I518" t="str">
        <f t="shared" si="8"/>
        <v>MOTOZONA SASGNCB</v>
      </c>
      <c r="J518" t="str">
        <f>VLOOKUP(I518,[1]Base!$I:$J,2,0)</f>
        <v>Lina del Mar Florez</v>
      </c>
    </row>
    <row r="519" spans="1:11">
      <c r="A519" t="s">
        <v>870</v>
      </c>
      <c r="B519" s="14">
        <v>1003013224</v>
      </c>
      <c r="C519" t="s">
        <v>5</v>
      </c>
      <c r="D519" t="s">
        <v>152</v>
      </c>
      <c r="E519" t="s">
        <v>646</v>
      </c>
      <c r="F519" t="s">
        <v>12</v>
      </c>
      <c r="G519" t="s">
        <v>15</v>
      </c>
      <c r="H519" t="s">
        <v>13</v>
      </c>
      <c r="I519" t="str">
        <f t="shared" si="8"/>
        <v>Movilidad Electrica Canaan S.A.S.GNCB</v>
      </c>
      <c r="J519" t="str">
        <f>VLOOKUP(I519,[1]Base!$I:$J,2,0)</f>
        <v>Lina del Mar Florez</v>
      </c>
    </row>
    <row r="520" spans="1:11">
      <c r="A520" t="s">
        <v>872</v>
      </c>
      <c r="B520" s="14">
        <v>1003012624</v>
      </c>
      <c r="C520" t="s">
        <v>5</v>
      </c>
      <c r="D520" t="s">
        <v>210</v>
      </c>
      <c r="E520" t="s">
        <v>648</v>
      </c>
      <c r="F520" t="s">
        <v>12</v>
      </c>
      <c r="G520" t="s">
        <v>16</v>
      </c>
      <c r="H520" t="s">
        <v>16</v>
      </c>
      <c r="I520" t="str">
        <f t="shared" si="8"/>
        <v>MOVIMOTOR S.A.S.GNCB</v>
      </c>
      <c r="J520" t="str">
        <f>VLOOKUP(I520,[1]Base!$I:$J,2,0)</f>
        <v>Lina del Mar Florez</v>
      </c>
    </row>
    <row r="521" spans="1:11">
      <c r="A521" t="s">
        <v>874</v>
      </c>
      <c r="B521" s="14">
        <v>1000008666</v>
      </c>
      <c r="C521" t="s">
        <v>36</v>
      </c>
      <c r="D521" t="s">
        <v>91</v>
      </c>
      <c r="E521" t="s">
        <v>461</v>
      </c>
      <c r="F521" t="s">
        <v>12</v>
      </c>
      <c r="G521" t="s">
        <v>7</v>
      </c>
      <c r="H521" t="s">
        <v>13</v>
      </c>
      <c r="I521" t="str">
        <f t="shared" si="8"/>
        <v>Multintegral SASGNCB</v>
      </c>
      <c r="J521" t="str">
        <f>VLOOKUP(I521,[1]Base!$I:$J,2,0)</f>
        <v>Lina del Mar Florez</v>
      </c>
    </row>
    <row r="522" spans="1:11">
      <c r="A522" t="s">
        <v>874</v>
      </c>
      <c r="B522" s="14">
        <v>1000008666</v>
      </c>
      <c r="C522" t="s">
        <v>36</v>
      </c>
      <c r="D522" t="s">
        <v>91</v>
      </c>
      <c r="E522" t="s">
        <v>461</v>
      </c>
      <c r="F522" t="s">
        <v>6</v>
      </c>
      <c r="G522" t="s">
        <v>7</v>
      </c>
      <c r="H522" t="s">
        <v>7</v>
      </c>
      <c r="I522" t="str">
        <f t="shared" si="8"/>
        <v>Multintegral SASVANTI</v>
      </c>
      <c r="J522" t="str">
        <f>VLOOKUP(I522,[1]Base!$I:$J,2,0)</f>
        <v>Juan Carlos Pinilla</v>
      </c>
    </row>
    <row r="523" spans="1:11">
      <c r="A523" t="s">
        <v>875</v>
      </c>
      <c r="B523" s="14">
        <v>1003012623</v>
      </c>
      <c r="C523" t="s">
        <v>5</v>
      </c>
      <c r="D523" t="s">
        <v>153</v>
      </c>
      <c r="E523" t="s">
        <v>650</v>
      </c>
      <c r="F523" t="s">
        <v>6</v>
      </c>
      <c r="G523" t="s">
        <v>336</v>
      </c>
      <c r="H523" t="s">
        <v>336</v>
      </c>
      <c r="I523" t="str">
        <f t="shared" si="8"/>
        <v>Mundo Cross Bogotá S.A.S.VANTI</v>
      </c>
      <c r="J523" t="str">
        <f>VLOOKUP(I523,[1]Base!$I:$J,2,0)</f>
        <v>Juan Carlos Pinilla</v>
      </c>
    </row>
    <row r="524" spans="1:11">
      <c r="A524" t="s">
        <v>876</v>
      </c>
      <c r="B524" s="14">
        <v>1003002091</v>
      </c>
      <c r="C524" t="s">
        <v>5</v>
      </c>
      <c r="D524" t="s">
        <v>133</v>
      </c>
      <c r="E524" t="s">
        <v>651</v>
      </c>
      <c r="F524" t="s">
        <v>6</v>
      </c>
      <c r="G524" t="s">
        <v>22</v>
      </c>
      <c r="H524" t="s">
        <v>22</v>
      </c>
      <c r="I524" t="str">
        <f t="shared" si="8"/>
        <v>Mundo de La Movilidad S.A.S.VANTI</v>
      </c>
      <c r="J524" t="str">
        <f>VLOOKUP(I524,[1]Base!$I:$J,2,0)</f>
        <v>Juan Carlos Pinilla</v>
      </c>
    </row>
    <row r="525" spans="1:11">
      <c r="A525" t="s">
        <v>877</v>
      </c>
      <c r="B525" s="14">
        <v>1003087191</v>
      </c>
      <c r="C525" t="s">
        <v>5</v>
      </c>
      <c r="D525" t="s">
        <v>302</v>
      </c>
      <c r="E525" t="s">
        <v>538</v>
      </c>
      <c r="F525" t="s">
        <v>17</v>
      </c>
      <c r="G525" t="s">
        <v>290</v>
      </c>
      <c r="H525" t="s">
        <v>290</v>
      </c>
      <c r="I525" t="str">
        <f t="shared" si="8"/>
        <v>NECHI MOTOS S.A.S.GNC</v>
      </c>
      <c r="J525" t="str">
        <f>VLOOKUP(I525,[1]Base!$I:$J,2,0)</f>
        <v>Lina del Mar Florez</v>
      </c>
    </row>
    <row r="526" spans="1:11">
      <c r="A526" t="s">
        <v>928</v>
      </c>
      <c r="B526" s="14">
        <v>1002915901</v>
      </c>
      <c r="C526" t="s">
        <v>8</v>
      </c>
      <c r="D526" t="s">
        <v>92</v>
      </c>
      <c r="E526" t="s">
        <v>683</v>
      </c>
      <c r="F526" t="s">
        <v>17</v>
      </c>
      <c r="G526" t="s">
        <v>290</v>
      </c>
      <c r="H526" t="s">
        <v>290</v>
      </c>
      <c r="I526" t="str">
        <f t="shared" si="8"/>
        <v>NEGOCIOS E INVERSIONES SINGS S.A.SGNC</v>
      </c>
      <c r="J526" t="str">
        <f>VLOOKUP(I526,[1]Base!$I:$J,2,0)</f>
        <v>Lina del Mar Florez</v>
      </c>
    </row>
    <row r="527" spans="1:11">
      <c r="A527" t="s">
        <v>878</v>
      </c>
      <c r="B527" s="14">
        <v>1000008205</v>
      </c>
      <c r="C527" t="s">
        <v>18</v>
      </c>
      <c r="D527" t="s">
        <v>331</v>
      </c>
      <c r="E527" t="s">
        <v>539</v>
      </c>
      <c r="F527" t="s">
        <v>6</v>
      </c>
      <c r="G527" t="s">
        <v>304</v>
      </c>
      <c r="H527" t="s">
        <v>304</v>
      </c>
      <c r="I527" t="str">
        <f t="shared" si="8"/>
        <v>OLIMPICA S.A.VANTI</v>
      </c>
      <c r="J527" t="str">
        <f>VLOOKUP(I527,[1]Base!$I:$J,2,0)</f>
        <v>Janneth Torres Hernandez</v>
      </c>
    </row>
    <row r="528" spans="1:11">
      <c r="A528" t="s">
        <v>879</v>
      </c>
      <c r="B528" s="14">
        <v>1002953836</v>
      </c>
      <c r="C528" t="s">
        <v>8</v>
      </c>
      <c r="D528" t="s">
        <v>93</v>
      </c>
      <c r="E528" t="s">
        <v>464</v>
      </c>
      <c r="F528" t="s">
        <v>12</v>
      </c>
      <c r="G528" t="s">
        <v>16</v>
      </c>
      <c r="H528" t="s">
        <v>16</v>
      </c>
      <c r="I528" t="str">
        <f t="shared" si="8"/>
        <v>PEGO &amp; ASOCIADOS S A SGNCB</v>
      </c>
      <c r="J528" t="str">
        <f>VLOOKUP(I528,[1]Base!$I:$J,2,0)</f>
        <v>Lina del Mar Florez</v>
      </c>
    </row>
    <row r="529" spans="1:10">
      <c r="A529" t="s">
        <v>880</v>
      </c>
      <c r="B529" s="14">
        <v>1003116173</v>
      </c>
      <c r="C529" t="s">
        <v>8</v>
      </c>
      <c r="D529" t="s">
        <v>303</v>
      </c>
      <c r="E529" t="s">
        <v>652</v>
      </c>
      <c r="F529" t="s">
        <v>6</v>
      </c>
      <c r="G529" t="s">
        <v>336</v>
      </c>
      <c r="H529" t="s">
        <v>336</v>
      </c>
      <c r="I529" t="str">
        <f t="shared" si="8"/>
        <v>PISOS Y ENCHAPES EUROCARIBE S.A.S.VANTI</v>
      </c>
      <c r="J529" t="str">
        <f>VLOOKUP(I529,[1]Base!$I:$J,2,0)</f>
        <v>Juan Carlos Pinilla</v>
      </c>
    </row>
    <row r="530" spans="1:10">
      <c r="A530" t="s">
        <v>882</v>
      </c>
      <c r="B530" s="14">
        <v>1002961590</v>
      </c>
      <c r="C530" t="s">
        <v>5</v>
      </c>
      <c r="D530" t="s">
        <v>95</v>
      </c>
      <c r="E530" t="s">
        <v>653</v>
      </c>
      <c r="F530" t="s">
        <v>6</v>
      </c>
      <c r="G530" t="s">
        <v>22</v>
      </c>
      <c r="H530" t="s">
        <v>22</v>
      </c>
      <c r="I530" t="str">
        <f t="shared" si="8"/>
        <v>Planeta Motos S.A.S.VANTI</v>
      </c>
      <c r="J530" t="str">
        <f>VLOOKUP(I530,[1]Base!$I:$J,2,0)</f>
        <v>Juan Carlos Pinilla</v>
      </c>
    </row>
    <row r="531" spans="1:10">
      <c r="A531" t="s">
        <v>929</v>
      </c>
      <c r="B531" s="14">
        <v>1002920119</v>
      </c>
      <c r="C531" t="s">
        <v>8</v>
      </c>
      <c r="D531" t="s">
        <v>96</v>
      </c>
      <c r="E531" t="s">
        <v>502</v>
      </c>
      <c r="F531" t="s">
        <v>12</v>
      </c>
      <c r="G531" t="s">
        <v>16</v>
      </c>
      <c r="H531" t="s">
        <v>16</v>
      </c>
      <c r="I531" t="str">
        <f t="shared" si="8"/>
        <v>PROYECTO E INVERSIONES GIRONA SASGNCB</v>
      </c>
      <c r="J531" t="str">
        <f>VLOOKUP(I531,[1]Base!$I:$J,2,0)</f>
        <v>Lina del Mar Florez</v>
      </c>
    </row>
    <row r="532" spans="1:10">
      <c r="A532" t="s">
        <v>929</v>
      </c>
      <c r="B532" s="14">
        <v>1002920119</v>
      </c>
      <c r="C532" t="s">
        <v>8</v>
      </c>
      <c r="D532" t="s">
        <v>96</v>
      </c>
      <c r="E532" t="s">
        <v>502</v>
      </c>
      <c r="F532" t="s">
        <v>6</v>
      </c>
      <c r="G532" t="s">
        <v>16</v>
      </c>
      <c r="H532" t="s">
        <v>20</v>
      </c>
      <c r="I532" t="str">
        <f t="shared" si="8"/>
        <v>PROYECTO E INVERSIONES GIRONA SASVANTI</v>
      </c>
      <c r="J532" t="str">
        <f>VLOOKUP(I532,[1]Base!$I:$J,2,0)</f>
        <v>Juan Carlos Pinilla</v>
      </c>
    </row>
    <row r="533" spans="1:10">
      <c r="A533" t="s">
        <v>884</v>
      </c>
      <c r="B533" s="14">
        <v>1002953842</v>
      </c>
      <c r="C533" t="s">
        <v>8</v>
      </c>
      <c r="D533" t="s">
        <v>98</v>
      </c>
      <c r="E533" t="s">
        <v>655</v>
      </c>
      <c r="F533" t="s">
        <v>17</v>
      </c>
      <c r="G533" t="s">
        <v>290</v>
      </c>
      <c r="H533" t="s">
        <v>290</v>
      </c>
      <c r="I533" t="str">
        <f t="shared" si="8"/>
        <v>PUNTO CENTER S.A.SGNC</v>
      </c>
      <c r="J533" t="str">
        <f>VLOOKUP(I533,[1]Base!$I:$J,2,0)</f>
        <v>Lina del Mar Florez</v>
      </c>
    </row>
    <row r="534" spans="1:10">
      <c r="A534" t="s">
        <v>885</v>
      </c>
      <c r="B534" s="14">
        <v>1002961162</v>
      </c>
      <c r="C534" t="s">
        <v>5</v>
      </c>
      <c r="D534" t="s">
        <v>99</v>
      </c>
      <c r="E534" t="s">
        <v>656</v>
      </c>
      <c r="F534" t="s">
        <v>6</v>
      </c>
      <c r="G534" t="s">
        <v>22</v>
      </c>
      <c r="H534" t="s">
        <v>22</v>
      </c>
      <c r="I534" t="str">
        <f t="shared" si="8"/>
        <v>Que Moto S.A.S.VANTI</v>
      </c>
      <c r="J534" t="str">
        <f>VLOOKUP(I534,[1]Base!$I:$J,2,0)</f>
        <v>Juan Carlos Pinilla</v>
      </c>
    </row>
    <row r="535" spans="1:10">
      <c r="A535" t="s">
        <v>888</v>
      </c>
      <c r="B535" s="14">
        <v>1000018903</v>
      </c>
      <c r="C535" t="s">
        <v>8</v>
      </c>
      <c r="D535" t="s">
        <v>101</v>
      </c>
      <c r="E535" t="s">
        <v>468</v>
      </c>
      <c r="F535" t="s">
        <v>17</v>
      </c>
      <c r="G535" t="s">
        <v>290</v>
      </c>
      <c r="H535" t="s">
        <v>290</v>
      </c>
      <c r="I535" t="str">
        <f t="shared" si="8"/>
        <v>Ruiz Yerena Jaime EnriqueGNC</v>
      </c>
      <c r="J535" t="str">
        <f>VLOOKUP(I535,[1]Base!$I:$J,2,0)</f>
        <v>Lina del Mar Florez</v>
      </c>
    </row>
    <row r="536" spans="1:10">
      <c r="A536" t="s">
        <v>889</v>
      </c>
      <c r="B536" s="14">
        <v>1003016988</v>
      </c>
      <c r="C536" t="s">
        <v>5</v>
      </c>
      <c r="D536" t="s">
        <v>211</v>
      </c>
      <c r="E536" t="s">
        <v>659</v>
      </c>
      <c r="F536" t="s">
        <v>6</v>
      </c>
      <c r="G536" t="s">
        <v>15</v>
      </c>
      <c r="H536" t="s">
        <v>15</v>
      </c>
      <c r="I536" t="str">
        <f t="shared" si="8"/>
        <v>SABANA MOTOS DE COLOMBIA S.A.S.VANTI</v>
      </c>
      <c r="J536" t="str">
        <f>VLOOKUP(I536,[1]Base!$I:$J,2,0)</f>
        <v>Juan Carlos Pinilla</v>
      </c>
    </row>
    <row r="537" spans="1:10">
      <c r="A537" t="s">
        <v>891</v>
      </c>
      <c r="B537" s="14">
        <v>1002981513</v>
      </c>
      <c r="C537" t="s">
        <v>8</v>
      </c>
      <c r="D537" t="s">
        <v>127</v>
      </c>
      <c r="E537" t="s">
        <v>475</v>
      </c>
      <c r="F537" t="s">
        <v>6</v>
      </c>
      <c r="G537" t="s">
        <v>20</v>
      </c>
      <c r="H537" t="s">
        <v>20</v>
      </c>
      <c r="I537" t="str">
        <f t="shared" si="8"/>
        <v>SHAHARIT S A SVANTI</v>
      </c>
      <c r="J537" t="str">
        <f>VLOOKUP(I537,[1]Base!$I:$J,2,0)</f>
        <v>Juan Carlos Pinilla</v>
      </c>
    </row>
    <row r="538" spans="1:10">
      <c r="A538" t="s">
        <v>894</v>
      </c>
      <c r="B538" s="14">
        <v>1000007614</v>
      </c>
      <c r="C538" t="s">
        <v>18</v>
      </c>
      <c r="D538" t="s">
        <v>251</v>
      </c>
      <c r="E538" t="s">
        <v>477</v>
      </c>
      <c r="F538" t="s">
        <v>6</v>
      </c>
      <c r="G538" t="s">
        <v>252</v>
      </c>
      <c r="H538" t="s">
        <v>252</v>
      </c>
      <c r="I538" t="str">
        <f t="shared" si="8"/>
        <v>SODIMAC COLOMBIA SAVANTI</v>
      </c>
      <c r="J538" t="str">
        <f>VLOOKUP(I538,[1]Base!$I:$J,2,0)</f>
        <v>Janneth Torres Hernandez</v>
      </c>
    </row>
    <row r="539" spans="1:10">
      <c r="A539" t="s">
        <v>894</v>
      </c>
      <c r="B539" s="14">
        <v>1000007614</v>
      </c>
      <c r="C539" t="s">
        <v>18</v>
      </c>
      <c r="D539" t="s">
        <v>251</v>
      </c>
      <c r="E539" t="s">
        <v>477</v>
      </c>
      <c r="F539" t="s">
        <v>12</v>
      </c>
      <c r="G539" t="s">
        <v>252</v>
      </c>
      <c r="H539" t="s">
        <v>16</v>
      </c>
      <c r="I539" t="str">
        <f t="shared" si="8"/>
        <v>SODIMAC COLOMBIA SAGNCB</v>
      </c>
      <c r="J539" t="str">
        <f>VLOOKUP(I539,[1]Base!$I:$J,2,0)</f>
        <v>Lina del Mar Florez</v>
      </c>
    </row>
    <row r="540" spans="1:10">
      <c r="A540" t="s">
        <v>895</v>
      </c>
      <c r="B540" s="14">
        <v>1000403382</v>
      </c>
      <c r="C540" t="s">
        <v>8</v>
      </c>
      <c r="D540" t="s">
        <v>102</v>
      </c>
      <c r="E540" t="s">
        <v>478</v>
      </c>
      <c r="F540" t="s">
        <v>12</v>
      </c>
      <c r="G540" t="s">
        <v>13</v>
      </c>
      <c r="H540" t="s">
        <v>13</v>
      </c>
      <c r="I540" t="str">
        <f t="shared" si="8"/>
        <v>SOELCO SASGNCB</v>
      </c>
      <c r="J540" t="str">
        <f>VLOOKUP(I540,[1]Base!$I:$J,2,0)</f>
        <v>Lina del Mar Florez</v>
      </c>
    </row>
    <row r="541" spans="1:10">
      <c r="A541" t="s">
        <v>897</v>
      </c>
      <c r="B541" s="14">
        <v>1003013223</v>
      </c>
      <c r="C541" t="s">
        <v>5</v>
      </c>
      <c r="D541" t="s">
        <v>138</v>
      </c>
      <c r="E541" t="s">
        <v>663</v>
      </c>
      <c r="F541" t="s">
        <v>6</v>
      </c>
      <c r="G541" t="s">
        <v>22</v>
      </c>
      <c r="H541" t="s">
        <v>22</v>
      </c>
      <c r="I541" t="str">
        <f t="shared" si="8"/>
        <v>Sport Motos Company S.A.S.VANTI</v>
      </c>
      <c r="J541" t="str">
        <f>VLOOKUP(I541,[1]Base!$I:$J,2,0)</f>
        <v>Juan Carlos Pinilla</v>
      </c>
    </row>
    <row r="542" spans="1:10">
      <c r="A542" t="s">
        <v>899</v>
      </c>
      <c r="B542" s="14">
        <v>1002958317</v>
      </c>
      <c r="C542" t="s">
        <v>8</v>
      </c>
      <c r="D542" t="s">
        <v>103</v>
      </c>
      <c r="E542" t="s">
        <v>665</v>
      </c>
      <c r="F542" t="s">
        <v>12</v>
      </c>
      <c r="G542" t="s">
        <v>336</v>
      </c>
      <c r="H542" t="s">
        <v>16</v>
      </c>
      <c r="I542" t="str">
        <f t="shared" si="8"/>
        <v>SUEÑOS Y CONFORT S.A.SGNCB</v>
      </c>
      <c r="J542" t="str">
        <f>VLOOKUP(I542,[1]Base!$I:$J,2,0)</f>
        <v>Lina del Mar Florez</v>
      </c>
    </row>
    <row r="543" spans="1:10">
      <c r="A543" t="s">
        <v>901</v>
      </c>
      <c r="B543" s="14">
        <v>1002893226</v>
      </c>
      <c r="C543" t="s">
        <v>36</v>
      </c>
      <c r="D543" t="s">
        <v>168</v>
      </c>
      <c r="E543" t="s">
        <v>482</v>
      </c>
      <c r="F543" t="s">
        <v>12</v>
      </c>
      <c r="G543" t="s">
        <v>7</v>
      </c>
      <c r="H543" t="s">
        <v>16</v>
      </c>
      <c r="I543" t="str">
        <f t="shared" si="8"/>
        <v>TECH RED SASGNCB</v>
      </c>
      <c r="J543" t="str">
        <f>VLOOKUP(I543,[1]Base!$I:$J,2,0)</f>
        <v>Lina del Mar Florez</v>
      </c>
    </row>
    <row r="544" spans="1:10">
      <c r="A544" t="s">
        <v>901</v>
      </c>
      <c r="B544" s="14">
        <v>1002893226</v>
      </c>
      <c r="C544" t="s">
        <v>36</v>
      </c>
      <c r="D544" t="s">
        <v>168</v>
      </c>
      <c r="E544" t="s">
        <v>482</v>
      </c>
      <c r="F544" t="s">
        <v>6</v>
      </c>
      <c r="G544" t="s">
        <v>7</v>
      </c>
      <c r="H544" t="s">
        <v>7</v>
      </c>
      <c r="I544" t="str">
        <f t="shared" si="8"/>
        <v>TECH RED SASVANTI</v>
      </c>
      <c r="J544" t="str">
        <f>VLOOKUP(I544,[1]Base!$I:$J,2,0)</f>
        <v>Juan Carlos Pinilla</v>
      </c>
    </row>
    <row r="545" spans="1:10">
      <c r="A545" t="s">
        <v>690</v>
      </c>
      <c r="B545" s="14">
        <v>1002951788</v>
      </c>
      <c r="C545" t="s">
        <v>5</v>
      </c>
      <c r="D545" t="s">
        <v>310</v>
      </c>
      <c r="E545" t="s">
        <v>667</v>
      </c>
      <c r="F545" t="s">
        <v>17</v>
      </c>
      <c r="G545" t="s">
        <v>290</v>
      </c>
      <c r="H545" t="s">
        <v>290</v>
      </c>
      <c r="I545" t="str">
        <f t="shared" si="8"/>
        <v>TODOMOTOS VS S.A.S.GNC</v>
      </c>
      <c r="J545" t="str">
        <f>VLOOKUP(I545,[1]Base!$I:$J,2,0)</f>
        <v>Lina del Mar Florez</v>
      </c>
    </row>
    <row r="546" spans="1:10">
      <c r="A546" t="s">
        <v>903</v>
      </c>
      <c r="B546" s="14">
        <v>1002888649</v>
      </c>
      <c r="C546" t="s">
        <v>36</v>
      </c>
      <c r="D546" t="s">
        <v>105</v>
      </c>
      <c r="E546" t="s">
        <v>486</v>
      </c>
      <c r="F546" t="s">
        <v>6</v>
      </c>
      <c r="G546" t="s">
        <v>20</v>
      </c>
      <c r="H546" t="s">
        <v>20</v>
      </c>
      <c r="I546" t="str">
        <f t="shared" si="8"/>
        <v>TU MEJOR OFERTA SASVANTI</v>
      </c>
      <c r="J546" t="str">
        <f>VLOOKUP(I546,[1]Base!$I:$J,2,0)</f>
        <v>Juan Carlos Pinilla</v>
      </c>
    </row>
    <row r="547" spans="1:10">
      <c r="A547" t="s">
        <v>905</v>
      </c>
      <c r="B547" s="14">
        <v>1002920092</v>
      </c>
      <c r="C547" t="s">
        <v>8</v>
      </c>
      <c r="D547" t="s">
        <v>106</v>
      </c>
      <c r="E547" t="s">
        <v>670</v>
      </c>
      <c r="F547" t="s">
        <v>17</v>
      </c>
      <c r="G547" t="s">
        <v>290</v>
      </c>
      <c r="H547" t="s">
        <v>290</v>
      </c>
      <c r="I547" t="str">
        <f t="shared" si="8"/>
        <v>Ultracem S.A.S.GNC</v>
      </c>
      <c r="J547" t="str">
        <f>VLOOKUP(I547,[1]Base!$I:$J,2,0)</f>
        <v>Lina del Mar Florez</v>
      </c>
    </row>
    <row r="548" spans="1:10">
      <c r="A548" t="s">
        <v>906</v>
      </c>
      <c r="B548" s="14">
        <v>1003022341</v>
      </c>
      <c r="C548" t="s">
        <v>5</v>
      </c>
      <c r="D548" t="s">
        <v>175</v>
      </c>
      <c r="E548" t="s">
        <v>671</v>
      </c>
      <c r="F548" t="s">
        <v>6</v>
      </c>
      <c r="G548" t="s">
        <v>15</v>
      </c>
      <c r="H548" t="s">
        <v>15</v>
      </c>
      <c r="I548" t="str">
        <f t="shared" si="8"/>
        <v>Usadas Certificadas S.A.S.VANTI</v>
      </c>
      <c r="J548" t="str">
        <f>VLOOKUP(I548,[1]Base!$I:$J,2,0)</f>
        <v>Juan Carlos Pinilla</v>
      </c>
    </row>
    <row r="549" spans="1:10">
      <c r="A549" t="s">
        <v>907</v>
      </c>
      <c r="B549" s="14">
        <v>1003003880</v>
      </c>
      <c r="C549" t="s">
        <v>5</v>
      </c>
      <c r="D549" t="s">
        <v>145</v>
      </c>
      <c r="E549" t="s">
        <v>672</v>
      </c>
      <c r="F549" t="s">
        <v>6</v>
      </c>
      <c r="G549" t="s">
        <v>22</v>
      </c>
      <c r="H549" t="s">
        <v>22</v>
      </c>
      <c r="I549" t="str">
        <f t="shared" si="8"/>
        <v>Velmotor S.A.S.VANTI</v>
      </c>
      <c r="J549" t="str">
        <f>VLOOKUP(I549,[1]Base!$I:$J,2,0)</f>
        <v>Juan Carlos Pinilla</v>
      </c>
    </row>
    <row r="550" spans="1:10">
      <c r="A550" t="s">
        <v>910</v>
      </c>
      <c r="B550" s="14">
        <v>1002984699</v>
      </c>
      <c r="C550" t="s">
        <v>5</v>
      </c>
      <c r="D550" t="s">
        <v>120</v>
      </c>
      <c r="E550" t="s">
        <v>674</v>
      </c>
      <c r="F550" t="s">
        <v>6</v>
      </c>
      <c r="G550" t="s">
        <v>22</v>
      </c>
      <c r="H550" t="s">
        <v>22</v>
      </c>
      <c r="I550" t="str">
        <f t="shared" si="8"/>
        <v>Yamarinos Kasamotos S.A.S.VANTI</v>
      </c>
      <c r="J550" t="str">
        <f>VLOOKUP(I550,[1]Base!$I:$J,2,0)</f>
        <v>Juan Carlos Pinilla</v>
      </c>
    </row>
    <row r="551" spans="1:10">
      <c r="A551" t="s">
        <v>911</v>
      </c>
      <c r="B551" s="14">
        <v>1002952208</v>
      </c>
      <c r="C551" t="s">
        <v>5</v>
      </c>
      <c r="D551" t="s">
        <v>162</v>
      </c>
      <c r="E551" t="s">
        <v>675</v>
      </c>
      <c r="F551" t="s">
        <v>12</v>
      </c>
      <c r="G551" t="s">
        <v>15</v>
      </c>
      <c r="H551" t="s">
        <v>16</v>
      </c>
      <c r="I551" t="str">
        <f t="shared" si="8"/>
        <v>ZAGAMOTOS DEL PACIFICO S.A.SGNCB</v>
      </c>
      <c r="J551" t="str">
        <f>VLOOKUP(I551,[1]Base!$I:$J,2,0)</f>
        <v>Lina del Mar Florez</v>
      </c>
    </row>
    <row r="552" spans="1:10">
      <c r="A552" t="s">
        <v>912</v>
      </c>
      <c r="B552" s="14">
        <v>1003027585</v>
      </c>
      <c r="C552" t="s">
        <v>5</v>
      </c>
      <c r="D552" t="s">
        <v>182</v>
      </c>
      <c r="E552" t="s">
        <v>676</v>
      </c>
      <c r="F552" t="s">
        <v>6</v>
      </c>
      <c r="G552" t="s">
        <v>15</v>
      </c>
      <c r="H552" t="s">
        <v>15</v>
      </c>
      <c r="I552" t="str">
        <f t="shared" si="8"/>
        <v>Zeta Mobiity S.A.S.VANTI</v>
      </c>
      <c r="J552" t="str">
        <f>VLOOKUP(I552,[1]Base!$I:$J,2,0)</f>
        <v>Juan Carlos Pinilla</v>
      </c>
    </row>
    <row r="553" spans="1:10">
      <c r="A553" t="s">
        <v>930</v>
      </c>
      <c r="B553" s="14">
        <v>1003092590</v>
      </c>
      <c r="C553" t="s">
        <v>5</v>
      </c>
      <c r="D553" t="s">
        <v>338</v>
      </c>
      <c r="E553" t="s">
        <v>503</v>
      </c>
      <c r="F553" t="s">
        <v>17</v>
      </c>
      <c r="G553" t="s">
        <v>290</v>
      </c>
      <c r="H553" t="s">
        <v>290</v>
      </c>
      <c r="I553" t="str">
        <f t="shared" si="8"/>
        <v>DIAR MOTOS SAS ZOMACGNC</v>
      </c>
      <c r="J553" t="str">
        <f>VLOOKUP(I553,[1]Base!$I:$J,2,0)</f>
        <v>Lina del Mar Florez</v>
      </c>
    </row>
    <row r="554" spans="1:10">
      <c r="A554" t="s">
        <v>931</v>
      </c>
      <c r="B554" s="14">
        <v>1003246235</v>
      </c>
      <c r="C554" t="s">
        <v>5</v>
      </c>
      <c r="D554" t="s">
        <v>339</v>
      </c>
      <c r="E554" t="s">
        <v>684</v>
      </c>
      <c r="F554" t="s">
        <v>6</v>
      </c>
      <c r="G554" t="s">
        <v>15</v>
      </c>
      <c r="H554" t="s">
        <v>15</v>
      </c>
      <c r="I554" t="str">
        <f t="shared" si="8"/>
        <v>MOTOMOVIL DE COLOMBIA S.A.S.VANTI</v>
      </c>
      <c r="J554" t="str">
        <f>VLOOKUP(I554,[1]Base!$I:$J,2,0)</f>
        <v>Juan Carlos Pinilla</v>
      </c>
    </row>
    <row r="555" spans="1:10">
      <c r="B555" s="14" t="e">
        <v>#N/A</v>
      </c>
      <c r="C555" t="s">
        <v>255</v>
      </c>
      <c r="D555" t="s">
        <v>273</v>
      </c>
      <c r="E555" t="s">
        <v>504</v>
      </c>
      <c r="F555" t="s">
        <v>10</v>
      </c>
      <c r="G555" t="s">
        <v>255</v>
      </c>
      <c r="H555" t="s">
        <v>255</v>
      </c>
      <c r="I555" t="str">
        <f t="shared" si="8"/>
        <v>A GAS VEHICULAR GNV SASGOR</v>
      </c>
      <c r="J555" t="str">
        <f>VLOOKUP(I555,[1]Base!$I:$J,2,0)</f>
        <v>GNV</v>
      </c>
    </row>
    <row r="556" spans="1:10">
      <c r="A556" t="s">
        <v>719</v>
      </c>
      <c r="B556" s="14">
        <v>1003158970</v>
      </c>
      <c r="C556" t="s">
        <v>8</v>
      </c>
      <c r="D556" t="s">
        <v>318</v>
      </c>
      <c r="E556" t="s">
        <v>376</v>
      </c>
      <c r="F556" t="s">
        <v>10</v>
      </c>
      <c r="G556" t="s">
        <v>305</v>
      </c>
      <c r="H556" t="s">
        <v>305</v>
      </c>
      <c r="I556" t="str">
        <f t="shared" si="8"/>
        <v>ALCA LTDAGOR</v>
      </c>
      <c r="J556" t="str">
        <f>VLOOKUP(I556,[1]Base!$I:$J,2,0)</f>
        <v>Lina del Mar Florez</v>
      </c>
    </row>
    <row r="557" spans="1:10">
      <c r="A557" t="s">
        <v>720</v>
      </c>
      <c r="B557" s="14">
        <v>1000008105</v>
      </c>
      <c r="C557" t="s">
        <v>8</v>
      </c>
      <c r="D557" t="s">
        <v>11</v>
      </c>
      <c r="E557" t="s">
        <v>552</v>
      </c>
      <c r="F557" t="s">
        <v>10</v>
      </c>
      <c r="G557" t="s">
        <v>336</v>
      </c>
      <c r="H557" t="s">
        <v>305</v>
      </c>
      <c r="I557" t="str">
        <f t="shared" si="8"/>
        <v>Alfagres S.A. - En ReorganizaciónGOR</v>
      </c>
      <c r="J557" t="str">
        <f>VLOOKUP(I557,[1]Base!$I:$J,2,0)</f>
        <v>Lina del Mar Florez</v>
      </c>
    </row>
    <row r="558" spans="1:10">
      <c r="A558" t="s">
        <v>722</v>
      </c>
      <c r="B558" s="14">
        <v>1002788615</v>
      </c>
      <c r="C558" t="s">
        <v>8</v>
      </c>
      <c r="D558" t="s">
        <v>14</v>
      </c>
      <c r="E558" t="s">
        <v>554</v>
      </c>
      <c r="F558" t="s">
        <v>10</v>
      </c>
      <c r="G558" t="s">
        <v>336</v>
      </c>
      <c r="H558" t="s">
        <v>305</v>
      </c>
      <c r="I558" t="str">
        <f t="shared" si="8"/>
        <v>ALMACENES CORONA S.A.SGOR</v>
      </c>
      <c r="J558" t="str">
        <f>VLOOKUP(I558,[1]Base!$I:$J,2,0)</f>
        <v>Lina del Mar Florez</v>
      </c>
    </row>
    <row r="559" spans="1:10">
      <c r="A559" t="s">
        <v>723</v>
      </c>
      <c r="B559" s="14">
        <v>1000008275</v>
      </c>
      <c r="C559" s="1" t="s">
        <v>18</v>
      </c>
      <c r="D559" t="s">
        <v>324</v>
      </c>
      <c r="E559" t="s">
        <v>379</v>
      </c>
      <c r="F559" t="s">
        <v>6</v>
      </c>
      <c r="G559" t="s">
        <v>291</v>
      </c>
      <c r="H559" t="s">
        <v>291</v>
      </c>
      <c r="I559" t="str">
        <f t="shared" si="8"/>
        <v>ALMACENES EXITO S A 2VANTI</v>
      </c>
      <c r="J559" t="str">
        <f>VLOOKUP(I559,[1]Base!$I:$J,2,0)</f>
        <v>Janneth Torres Hernandez</v>
      </c>
    </row>
    <row r="560" spans="1:10">
      <c r="A560" t="s">
        <v>725</v>
      </c>
      <c r="B560" s="14">
        <v>1002827461</v>
      </c>
      <c r="C560" t="s">
        <v>8</v>
      </c>
      <c r="D560" t="s">
        <v>21</v>
      </c>
      <c r="E560" t="s">
        <v>556</v>
      </c>
      <c r="F560" t="s">
        <v>10</v>
      </c>
      <c r="G560" t="s">
        <v>20</v>
      </c>
      <c r="H560" t="s">
        <v>305</v>
      </c>
      <c r="I560" t="str">
        <f t="shared" si="8"/>
        <v>ALONDRA MUEBLES Y COLCHONES S.A.SGOR</v>
      </c>
      <c r="J560" t="str">
        <f>VLOOKUP(I560,[1]Base!$I:$J,2,0)</f>
        <v>Lina del Mar Florez</v>
      </c>
    </row>
    <row r="561" spans="1:11">
      <c r="A561" t="s">
        <v>727</v>
      </c>
      <c r="B561" s="14">
        <v>1000027908</v>
      </c>
      <c r="C561" t="s">
        <v>8</v>
      </c>
      <c r="D561" t="s">
        <v>24</v>
      </c>
      <c r="E561" t="s">
        <v>381</v>
      </c>
      <c r="F561" t="s">
        <v>10</v>
      </c>
      <c r="G561" t="s">
        <v>13</v>
      </c>
      <c r="H561" t="s">
        <v>305</v>
      </c>
      <c r="I561" t="str">
        <f t="shared" si="8"/>
        <v>AMBIENTES CERAMICOS LTDAGOR</v>
      </c>
      <c r="J561" t="str">
        <f>VLOOKUP(I561,[1]Base!$I:$J,2,0)</f>
        <v>Lina del Mar Florez</v>
      </c>
    </row>
    <row r="562" spans="1:11">
      <c r="B562" s="14" t="e">
        <v>#N/A</v>
      </c>
      <c r="C562" t="s">
        <v>297</v>
      </c>
      <c r="D562" t="s">
        <v>285</v>
      </c>
      <c r="E562" t="s">
        <v>386</v>
      </c>
      <c r="F562" t="s">
        <v>10</v>
      </c>
      <c r="G562" t="s">
        <v>208</v>
      </c>
      <c r="H562" t="s">
        <v>208</v>
      </c>
      <c r="I562" t="str">
        <f t="shared" si="8"/>
        <v>AR CAPITAL SASGOR</v>
      </c>
      <c r="J562" t="str">
        <f>VLOOKUP(I562,[1]Base!$I:$J,2,0)</f>
        <v>Firma Instaladora</v>
      </c>
    </row>
    <row r="563" spans="1:11">
      <c r="B563" s="14" t="e">
        <v>#N/A</v>
      </c>
      <c r="C563" t="s">
        <v>255</v>
      </c>
      <c r="D563" t="s">
        <v>278</v>
      </c>
      <c r="E563" t="s">
        <v>390</v>
      </c>
      <c r="F563" t="s">
        <v>10</v>
      </c>
      <c r="G563" t="s">
        <v>255</v>
      </c>
      <c r="H563" t="s">
        <v>255</v>
      </c>
      <c r="I563" t="str">
        <f t="shared" si="8"/>
        <v>AUTOGASCOL LTDAGOR</v>
      </c>
      <c r="J563" t="str">
        <f>VLOOKUP(I563,[1]Base!$I:$J,2,0)</f>
        <v>GNV</v>
      </c>
    </row>
    <row r="564" spans="1:11">
      <c r="B564" s="14" t="e">
        <v>#N/A</v>
      </c>
      <c r="C564" t="s">
        <v>255</v>
      </c>
      <c r="D564" t="s">
        <v>274</v>
      </c>
      <c r="E564" t="s">
        <v>505</v>
      </c>
      <c r="F564" t="s">
        <v>10</v>
      </c>
      <c r="G564" t="s">
        <v>255</v>
      </c>
      <c r="H564" t="s">
        <v>255</v>
      </c>
      <c r="I564" t="str">
        <f t="shared" si="8"/>
        <v>BUCARGAS GNV SASGOR</v>
      </c>
      <c r="J564" t="str">
        <f>VLOOKUP(I564,[1]Base!$I:$J,2,0)</f>
        <v>GNV</v>
      </c>
    </row>
    <row r="565" spans="1:11">
      <c r="A565" t="s">
        <v>917</v>
      </c>
      <c r="B565" s="14">
        <v>1002143340</v>
      </c>
      <c r="C565" t="s">
        <v>5</v>
      </c>
      <c r="D565" t="s">
        <v>164</v>
      </c>
      <c r="E565" t="s">
        <v>493</v>
      </c>
      <c r="F565" s="3" t="s">
        <v>10</v>
      </c>
      <c r="G565" t="s">
        <v>305</v>
      </c>
      <c r="H565" t="s">
        <v>305</v>
      </c>
      <c r="I565" t="str">
        <f t="shared" si="8"/>
        <v>CAMACHO SUAREZ NELSON DAMIANGOR</v>
      </c>
      <c r="J565" t="str">
        <f>VLOOKUP(I565,[1]Base!$I:$J,2,0)</f>
        <v>Lina del Mar Florez</v>
      </c>
    </row>
    <row r="566" spans="1:11">
      <c r="A566" t="s">
        <v>736</v>
      </c>
      <c r="B566" s="14">
        <v>1003009702</v>
      </c>
      <c r="C566" t="s">
        <v>5</v>
      </c>
      <c r="D566" t="s">
        <v>217</v>
      </c>
      <c r="E566" t="s">
        <v>563</v>
      </c>
      <c r="F566" t="s">
        <v>10</v>
      </c>
      <c r="G566" t="s">
        <v>290</v>
      </c>
      <c r="H566" t="s">
        <v>305</v>
      </c>
      <c r="I566" t="str">
        <f t="shared" si="8"/>
        <v>CARCO - SEVE SOCIEDAD POR ACCIONES SIMPLIFICADA S.A.S.GOR</v>
      </c>
      <c r="J566" t="str">
        <f>VLOOKUP(I566,[1]Base!$I:$J,2,0)</f>
        <v>Lina del Mar Florez</v>
      </c>
    </row>
    <row r="567" spans="1:11">
      <c r="A567" t="s">
        <v>743</v>
      </c>
      <c r="B567" s="14">
        <v>1000008467</v>
      </c>
      <c r="C567" t="s">
        <v>18</v>
      </c>
      <c r="D567" t="s">
        <v>341</v>
      </c>
      <c r="E567" t="s">
        <v>569</v>
      </c>
      <c r="F567" t="s">
        <v>10</v>
      </c>
      <c r="G567" t="s">
        <v>291</v>
      </c>
      <c r="H567" t="s">
        <v>344</v>
      </c>
      <c r="I567" t="str">
        <f t="shared" si="8"/>
        <v>CENCOSUD COLOMBIA S.AGOR</v>
      </c>
      <c r="J567" t="str">
        <f>VLOOKUP(I567,[1]Base!$I:$J,2,0)</f>
        <v>Lina del Mar Florez</v>
      </c>
    </row>
    <row r="568" spans="1:11">
      <c r="A568" t="s">
        <v>932</v>
      </c>
      <c r="B568" s="14">
        <v>1003087381</v>
      </c>
      <c r="C568" t="s">
        <v>5</v>
      </c>
      <c r="D568" t="s">
        <v>319</v>
      </c>
      <c r="E568" t="s">
        <v>547</v>
      </c>
      <c r="F568" t="s">
        <v>10</v>
      </c>
      <c r="G568" t="s">
        <v>305</v>
      </c>
      <c r="H568" t="s">
        <v>305</v>
      </c>
      <c r="I568" t="str">
        <f t="shared" si="8"/>
        <v>CENTRALMOTOS LEBRIJA S.A.S.GOR</v>
      </c>
      <c r="J568" t="str">
        <f>VLOOKUP(I568,[1]Base!$I:$J,2,0)</f>
        <v>Lina del Mar Florez</v>
      </c>
    </row>
    <row r="569" spans="1:11">
      <c r="B569" s="14" t="e">
        <v>#N/A</v>
      </c>
      <c r="C569" t="s">
        <v>254</v>
      </c>
      <c r="D569" t="s">
        <v>234</v>
      </c>
      <c r="E569" t="s">
        <v>524</v>
      </c>
      <c r="F569" t="s">
        <v>10</v>
      </c>
      <c r="G569" t="s">
        <v>254</v>
      </c>
      <c r="H569" t="s">
        <v>254</v>
      </c>
      <c r="I569" t="str">
        <f t="shared" si="8"/>
        <v>CHALLENGER S.A.GOR</v>
      </c>
      <c r="J569" t="str">
        <f>VLOOKUP(I569,[1]Base!$I:$J,2,0)</f>
        <v>Seller</v>
      </c>
    </row>
    <row r="570" spans="1:11">
      <c r="A570" t="s">
        <v>748</v>
      </c>
      <c r="B570" s="14">
        <v>1002974545</v>
      </c>
      <c r="C570" t="s">
        <v>8</v>
      </c>
      <c r="D570" t="s">
        <v>113</v>
      </c>
      <c r="E570" t="s">
        <v>395</v>
      </c>
      <c r="F570" t="s">
        <v>10</v>
      </c>
      <c r="G570" t="s">
        <v>290</v>
      </c>
      <c r="H570" t="s">
        <v>305</v>
      </c>
      <c r="I570" t="str">
        <f t="shared" si="8"/>
        <v>CHINCHILLA SANTIAGO MILDREDGOR</v>
      </c>
      <c r="J570" t="str">
        <f>VLOOKUP(I570,[1]Base!$I:$J,2,0)</f>
        <v>Lina del Mar Florez</v>
      </c>
    </row>
    <row r="571" spans="1:11">
      <c r="A571" s="13" t="s">
        <v>707</v>
      </c>
      <c r="B571" s="14">
        <v>1003090270</v>
      </c>
      <c r="C571" t="s">
        <v>8</v>
      </c>
      <c r="D571" t="s">
        <v>314</v>
      </c>
      <c r="E571" t="s">
        <v>548</v>
      </c>
      <c r="F571" t="s">
        <v>10</v>
      </c>
      <c r="G571" t="s">
        <v>305</v>
      </c>
      <c r="H571" t="s">
        <v>305</v>
      </c>
      <c r="I571" t="str">
        <f t="shared" si="8"/>
        <v>CHP MATERIALES PARA CONTRUCCION S.A.S.GOR</v>
      </c>
      <c r="J571" t="str">
        <f>VLOOKUP(I571,[1]Base!$I:$J,2,0)</f>
        <v>Lina del Mar Florez</v>
      </c>
      <c r="K571" t="s">
        <v>708</v>
      </c>
    </row>
    <row r="572" spans="1:11">
      <c r="A572" t="s">
        <v>749</v>
      </c>
      <c r="B572" s="14">
        <v>1003022151</v>
      </c>
      <c r="C572" t="s">
        <v>5</v>
      </c>
      <c r="D572" t="s">
        <v>174</v>
      </c>
      <c r="E572" t="s">
        <v>571</v>
      </c>
      <c r="F572" t="s">
        <v>10</v>
      </c>
      <c r="G572" t="s">
        <v>15</v>
      </c>
      <c r="H572" t="s">
        <v>305</v>
      </c>
      <c r="I572" t="str">
        <f t="shared" si="8"/>
        <v>Cimaxcol S.A.S.GOR</v>
      </c>
      <c r="J572" t="str">
        <f>VLOOKUP(I572,[1]Base!$I:$J,2,0)</f>
        <v>Lina del Mar Florez</v>
      </c>
    </row>
    <row r="573" spans="1:11">
      <c r="A573" t="s">
        <v>920</v>
      </c>
      <c r="B573" s="14">
        <v>1002909153</v>
      </c>
      <c r="C573" t="s">
        <v>8</v>
      </c>
      <c r="D573" t="s">
        <v>30</v>
      </c>
      <c r="E573" t="s">
        <v>495</v>
      </c>
      <c r="F573" t="s">
        <v>10</v>
      </c>
      <c r="G573" t="s">
        <v>336</v>
      </c>
      <c r="H573" t="s">
        <v>305</v>
      </c>
      <c r="I573" t="str">
        <f t="shared" si="8"/>
        <v>COL HOGAR 1 S A SGOR</v>
      </c>
      <c r="J573" t="str">
        <f>VLOOKUP(I573,[1]Base!$I:$J,2,0)</f>
        <v>Lina del Mar Florez</v>
      </c>
    </row>
    <row r="574" spans="1:11">
      <c r="A574" s="13" t="s">
        <v>703</v>
      </c>
      <c r="B574" s="14">
        <v>1003085102</v>
      </c>
      <c r="C574" t="s">
        <v>8</v>
      </c>
      <c r="D574" t="s">
        <v>243</v>
      </c>
      <c r="E574" t="s">
        <v>497</v>
      </c>
      <c r="F574" t="s">
        <v>10</v>
      </c>
      <c r="G574" t="s">
        <v>336</v>
      </c>
      <c r="H574" t="s">
        <v>305</v>
      </c>
      <c r="I574" t="str">
        <f t="shared" si="8"/>
        <v>COLCHONES EL DORADO SAGOR</v>
      </c>
      <c r="J574" t="str">
        <f>VLOOKUP(I574,[1]Base!$I:$J,2,0)</f>
        <v>Lina del Mar Florez</v>
      </c>
      <c r="K574" t="s">
        <v>704</v>
      </c>
    </row>
    <row r="575" spans="1:11">
      <c r="B575" s="14" t="e">
        <v>#N/A</v>
      </c>
      <c r="C575" t="s">
        <v>255</v>
      </c>
      <c r="D575" t="s">
        <v>262</v>
      </c>
      <c r="E575" t="s">
        <v>396</v>
      </c>
      <c r="F575" t="s">
        <v>10</v>
      </c>
      <c r="G575" t="s">
        <v>255</v>
      </c>
      <c r="H575" t="s">
        <v>255</v>
      </c>
      <c r="I575" t="str">
        <f t="shared" si="8"/>
        <v>COLOMBIA GAS VEHICULAR LTDAGOR</v>
      </c>
      <c r="J575" t="str">
        <f>VLOOKUP(I575,[1]Base!$I:$J,2,0)</f>
        <v>GNV</v>
      </c>
    </row>
    <row r="576" spans="1:11">
      <c r="A576" t="s">
        <v>755</v>
      </c>
      <c r="B576" s="14">
        <v>1002919239</v>
      </c>
      <c r="C576" t="s">
        <v>36</v>
      </c>
      <c r="D576" t="s">
        <v>37</v>
      </c>
      <c r="E576" t="s">
        <v>399</v>
      </c>
      <c r="F576" t="s">
        <v>10</v>
      </c>
      <c r="G576" t="s">
        <v>305</v>
      </c>
      <c r="H576" t="s">
        <v>305</v>
      </c>
      <c r="I576" t="str">
        <f t="shared" si="8"/>
        <v>Comercializadora ElecktroasGOR</v>
      </c>
      <c r="J576" t="str">
        <f>VLOOKUP(I576,[1]Base!$I:$J,2,0)</f>
        <v>Lina del Mar Florez</v>
      </c>
    </row>
    <row r="577" spans="1:11">
      <c r="A577" t="s">
        <v>758</v>
      </c>
      <c r="B577" s="14">
        <v>1000008039</v>
      </c>
      <c r="C577" t="s">
        <v>8</v>
      </c>
      <c r="D577" t="s">
        <v>38</v>
      </c>
      <c r="E577" t="s">
        <v>401</v>
      </c>
      <c r="F577" t="s">
        <v>10</v>
      </c>
      <c r="G577" t="s">
        <v>336</v>
      </c>
      <c r="H577" t="s">
        <v>305</v>
      </c>
      <c r="I577" t="str">
        <f t="shared" si="8"/>
        <v>COMPAÑÍA COLOMBIANA DE CERAMICA SASGOR</v>
      </c>
      <c r="J577" t="str">
        <f>VLOOKUP(I577,[1]Base!$I:$J,2,0)</f>
        <v>Lina del Mar Florez</v>
      </c>
    </row>
    <row r="578" spans="1:11">
      <c r="B578" s="14" t="e">
        <v>#N/A</v>
      </c>
      <c r="C578" t="s">
        <v>255</v>
      </c>
      <c r="D578" t="s">
        <v>286</v>
      </c>
      <c r="E578" t="s">
        <v>506</v>
      </c>
      <c r="F578" t="s">
        <v>10</v>
      </c>
      <c r="G578" t="s">
        <v>255</v>
      </c>
      <c r="H578" t="s">
        <v>255</v>
      </c>
      <c r="I578" t="str">
        <f t="shared" si="8"/>
        <v>CONTROL METROLOGICICO Y GAS SASGOR</v>
      </c>
      <c r="J578" t="str">
        <f>VLOOKUP(I578,[1]Base!$I:$J,2,0)</f>
        <v>GNV</v>
      </c>
    </row>
    <row r="579" spans="1:11">
      <c r="A579" t="s">
        <v>764</v>
      </c>
      <c r="B579" s="14">
        <v>1003120210</v>
      </c>
      <c r="C579" t="s">
        <v>8</v>
      </c>
      <c r="D579" t="s">
        <v>300</v>
      </c>
      <c r="E579" t="s">
        <v>404</v>
      </c>
      <c r="F579" t="s">
        <v>10</v>
      </c>
      <c r="G579" t="s">
        <v>305</v>
      </c>
      <c r="H579" t="s">
        <v>305</v>
      </c>
      <c r="I579" t="str">
        <f t="shared" ref="I579:I642" si="9">D579&amp;F579</f>
        <v>COOPERATIVA MULTIACTIVA DE LOS TRABAJADORES DE SANTANDER GOR</v>
      </c>
      <c r="J579" t="str">
        <f>VLOOKUP(I579,[1]Base!$I:$J,2,0)</f>
        <v>Lina del Mar Florez</v>
      </c>
    </row>
    <row r="580" spans="1:11">
      <c r="A580" t="s">
        <v>765</v>
      </c>
      <c r="B580" s="14">
        <v>1002974513</v>
      </c>
      <c r="C580" t="s">
        <v>5</v>
      </c>
      <c r="D580" t="s">
        <v>122</v>
      </c>
      <c r="E580" t="s">
        <v>579</v>
      </c>
      <c r="F580" t="s">
        <v>10</v>
      </c>
      <c r="G580" t="s">
        <v>22</v>
      </c>
      <c r="H580" t="s">
        <v>305</v>
      </c>
      <c r="I580" t="str">
        <f t="shared" si="9"/>
        <v>Credimotos de Colombia S.A.S.GOR</v>
      </c>
      <c r="J580" t="str">
        <f>VLOOKUP(I580,[1]Base!$I:$J,2,0)</f>
        <v>Lina del Mar Florez</v>
      </c>
    </row>
    <row r="581" spans="1:11">
      <c r="A581" t="s">
        <v>770</v>
      </c>
      <c r="B581" s="14">
        <v>1003155317</v>
      </c>
      <c r="C581" t="s">
        <v>8</v>
      </c>
      <c r="D581" t="s">
        <v>322</v>
      </c>
      <c r="E581" t="s">
        <v>527</v>
      </c>
      <c r="F581" t="s">
        <v>10</v>
      </c>
      <c r="G581" t="s">
        <v>305</v>
      </c>
      <c r="H581" t="s">
        <v>305</v>
      </c>
      <c r="I581" t="str">
        <f t="shared" si="9"/>
        <v>DIGITALTECH S.A.SGOR</v>
      </c>
      <c r="J581" t="str">
        <f>VLOOKUP(I581,[1]Base!$I:$J,2,0)</f>
        <v>Lina del Mar Florez</v>
      </c>
    </row>
    <row r="582" spans="1:11">
      <c r="A582" t="s">
        <v>772</v>
      </c>
      <c r="B582" s="14">
        <v>1003082935</v>
      </c>
      <c r="C582" t="s">
        <v>5</v>
      </c>
      <c r="D582" t="s">
        <v>224</v>
      </c>
      <c r="E582" t="s">
        <v>408</v>
      </c>
      <c r="F582" t="s">
        <v>10</v>
      </c>
      <c r="G582" t="s">
        <v>22</v>
      </c>
      <c r="H582" t="s">
        <v>305</v>
      </c>
      <c r="I582" t="str">
        <f t="shared" si="9"/>
        <v>DISMERCA SASGOR</v>
      </c>
      <c r="J582" t="str">
        <f>VLOOKUP(I582,[1]Base!$I:$J,2,0)</f>
        <v>Lina del Mar Florez</v>
      </c>
    </row>
    <row r="583" spans="1:11">
      <c r="A583" t="s">
        <v>933</v>
      </c>
      <c r="B583" s="14">
        <v>1002838055</v>
      </c>
      <c r="C583" t="s">
        <v>8</v>
      </c>
      <c r="D583" t="s">
        <v>46</v>
      </c>
      <c r="E583" t="s">
        <v>507</v>
      </c>
      <c r="F583" t="s">
        <v>10</v>
      </c>
      <c r="G583" t="s">
        <v>305</v>
      </c>
      <c r="H583" t="s">
        <v>305</v>
      </c>
      <c r="I583" t="str">
        <f t="shared" si="9"/>
        <v>DISTRIBUCIONES COLOMBIA SASGOR</v>
      </c>
      <c r="J583" t="str">
        <f>VLOOKUP(I583,[1]Base!$I:$J,2,0)</f>
        <v>Lina del Mar Florez</v>
      </c>
    </row>
    <row r="584" spans="1:11">
      <c r="A584" t="s">
        <v>773</v>
      </c>
      <c r="B584" s="14">
        <v>1002953597</v>
      </c>
      <c r="C584" t="s">
        <v>5</v>
      </c>
      <c r="D584" t="s">
        <v>47</v>
      </c>
      <c r="E584" t="s">
        <v>584</v>
      </c>
      <c r="F584" t="s">
        <v>10</v>
      </c>
      <c r="G584" t="s">
        <v>305</v>
      </c>
      <c r="H584" t="s">
        <v>305</v>
      </c>
      <c r="I584" t="str">
        <f t="shared" si="9"/>
        <v>DISTRIBUCIONES EDSOVA S.A.S.GOR</v>
      </c>
      <c r="J584" t="str">
        <f>VLOOKUP(I584,[1]Base!$I:$J,2,0)</f>
        <v>Lina del Mar Florez</v>
      </c>
    </row>
    <row r="585" spans="1:11">
      <c r="A585" t="s">
        <v>776</v>
      </c>
      <c r="B585" s="14">
        <v>10000088242</v>
      </c>
      <c r="C585" t="s">
        <v>36</v>
      </c>
      <c r="D585" t="s">
        <v>48</v>
      </c>
      <c r="E585" t="s">
        <v>409</v>
      </c>
      <c r="F585" t="s">
        <v>10</v>
      </c>
      <c r="G585" t="s">
        <v>305</v>
      </c>
      <c r="H585" t="s">
        <v>305</v>
      </c>
      <c r="I585" t="str">
        <f t="shared" si="9"/>
        <v>DISTRIBUIDORA RAYCO SASGOR</v>
      </c>
      <c r="J585" t="str">
        <f>VLOOKUP(I585,[1]Base!$I:$J,2,0)</f>
        <v>Lina del Mar Florez</v>
      </c>
    </row>
    <row r="586" spans="1:11">
      <c r="A586" s="13" t="s">
        <v>690</v>
      </c>
      <c r="B586" s="14">
        <v>1002951788</v>
      </c>
      <c r="C586" t="s">
        <v>5</v>
      </c>
      <c r="D586" t="s">
        <v>112</v>
      </c>
      <c r="E586" t="s">
        <v>529</v>
      </c>
      <c r="F586" t="s">
        <v>10</v>
      </c>
      <c r="G586" t="s">
        <v>290</v>
      </c>
      <c r="H586" t="s">
        <v>305</v>
      </c>
      <c r="I586" t="str">
        <f t="shared" si="9"/>
        <v>DISTRIFER S.A.S.GOR</v>
      </c>
      <c r="J586" t="str">
        <f>VLOOKUP(I586,[1]Base!$I:$J,2,0)</f>
        <v>Lina del Mar Florez</v>
      </c>
      <c r="K586" t="s">
        <v>310</v>
      </c>
    </row>
    <row r="587" spans="1:11">
      <c r="A587" t="s">
        <v>779</v>
      </c>
      <c r="B587" s="14">
        <v>1002972131</v>
      </c>
      <c r="C587" t="s">
        <v>5</v>
      </c>
      <c r="D587" t="s">
        <v>49</v>
      </c>
      <c r="E587" t="s">
        <v>589</v>
      </c>
      <c r="F587" t="s">
        <v>10</v>
      </c>
      <c r="G587" t="s">
        <v>13</v>
      </c>
      <c r="H587" t="s">
        <v>305</v>
      </c>
      <c r="I587" t="str">
        <f t="shared" si="9"/>
        <v>DISTRIMOTOS DE COLOMBIA S.A.SGOR</v>
      </c>
      <c r="J587" t="str">
        <f>VLOOKUP(I587,[1]Base!$I:$J,2,0)</f>
        <v>Lina del Mar Florez</v>
      </c>
    </row>
    <row r="588" spans="1:11">
      <c r="A588" t="s">
        <v>781</v>
      </c>
      <c r="B588" s="14">
        <v>1002953625</v>
      </c>
      <c r="C588" t="s">
        <v>5</v>
      </c>
      <c r="D588" t="s">
        <v>51</v>
      </c>
      <c r="E588" t="s">
        <v>591</v>
      </c>
      <c r="F588" t="s">
        <v>10</v>
      </c>
      <c r="G588" t="s">
        <v>15</v>
      </c>
      <c r="H588" t="s">
        <v>305</v>
      </c>
      <c r="I588" t="str">
        <f t="shared" si="9"/>
        <v>DIVERXA S.A.SGOR</v>
      </c>
      <c r="J588" t="str">
        <f>VLOOKUP(I588,[1]Base!$I:$J,2,0)</f>
        <v>Lina del Mar Florez</v>
      </c>
    </row>
    <row r="589" spans="1:11">
      <c r="B589" s="14" t="e">
        <v>#N/A</v>
      </c>
      <c r="C589" t="s">
        <v>297</v>
      </c>
      <c r="D589" t="s">
        <v>199</v>
      </c>
      <c r="E589" t="s">
        <v>508</v>
      </c>
      <c r="F589" t="s">
        <v>10</v>
      </c>
      <c r="G589" t="s">
        <v>208</v>
      </c>
      <c r="H589" t="s">
        <v>208</v>
      </c>
      <c r="I589" t="str">
        <f t="shared" si="9"/>
        <v>EXPERTOS MANTENIMIENTOS Y REPARACIONES SASGOR</v>
      </c>
      <c r="J589" t="str">
        <f>VLOOKUP(I589,[1]Base!$I:$J,2,0)</f>
        <v>Firma Instaladora</v>
      </c>
    </row>
    <row r="590" spans="1:11">
      <c r="A590" t="s">
        <v>792</v>
      </c>
      <c r="B590" s="14">
        <v>1003076129</v>
      </c>
      <c r="C590" t="s">
        <v>5</v>
      </c>
      <c r="D590" t="s">
        <v>231</v>
      </c>
      <c r="E590" t="s">
        <v>415</v>
      </c>
      <c r="F590" t="s">
        <v>10</v>
      </c>
      <c r="G590" t="s">
        <v>15</v>
      </c>
      <c r="H590" t="s">
        <v>305</v>
      </c>
      <c r="I590" t="str">
        <f t="shared" si="9"/>
        <v>FRATELLI COLOMBIA SASGOR</v>
      </c>
      <c r="J590" t="str">
        <f>VLOOKUP(I590,[1]Base!$I:$J,2,0)</f>
        <v>Lina del Mar Florez</v>
      </c>
    </row>
    <row r="591" spans="1:11">
      <c r="B591" s="14" t="e">
        <v>#N/A</v>
      </c>
      <c r="C591" t="s">
        <v>297</v>
      </c>
      <c r="D591" t="s">
        <v>294</v>
      </c>
      <c r="E591" t="s">
        <v>532</v>
      </c>
      <c r="F591" t="s">
        <v>10</v>
      </c>
      <c r="G591" t="s">
        <v>208</v>
      </c>
      <c r="H591" t="s">
        <v>208</v>
      </c>
      <c r="I591" t="str">
        <f t="shared" si="9"/>
        <v>G. C. INGENIERIA HIDRAULICA Y GAS S.A.S.GOR</v>
      </c>
      <c r="J591" t="str">
        <f>VLOOKUP(I591,[1]Base!$I:$J,2,0)</f>
        <v>Firma Instaladora</v>
      </c>
    </row>
    <row r="592" spans="1:11">
      <c r="B592" s="14" t="e">
        <v>#N/A</v>
      </c>
      <c r="C592" t="s">
        <v>255</v>
      </c>
      <c r="D592" t="s">
        <v>277</v>
      </c>
      <c r="E592" t="s">
        <v>509</v>
      </c>
      <c r="F592" t="s">
        <v>10</v>
      </c>
      <c r="G592" t="s">
        <v>255</v>
      </c>
      <c r="H592" t="s">
        <v>255</v>
      </c>
      <c r="I592" t="str">
        <f t="shared" si="9"/>
        <v>GARCIA FUENTES CARLOS ANDRESGOR</v>
      </c>
      <c r="J592" t="str">
        <f>VLOOKUP(I592,[1]Base!$I:$J,2,0)</f>
        <v>GNV</v>
      </c>
    </row>
    <row r="593" spans="1:11">
      <c r="A593" t="s">
        <v>797</v>
      </c>
      <c r="B593" s="14">
        <v>1002980344</v>
      </c>
      <c r="C593" t="s">
        <v>8</v>
      </c>
      <c r="D593" t="s">
        <v>149</v>
      </c>
      <c r="E593" t="s">
        <v>419</v>
      </c>
      <c r="F593" t="s">
        <v>10</v>
      </c>
      <c r="G593" t="s">
        <v>290</v>
      </c>
      <c r="H593" t="s">
        <v>305</v>
      </c>
      <c r="I593" t="str">
        <f t="shared" si="9"/>
        <v>GELVER ANTONIO ORTEGA SANCHEZGOR</v>
      </c>
      <c r="J593" t="str">
        <f>VLOOKUP(I593,[1]Base!$I:$J,2,0)</f>
        <v>Lina del Mar Florez</v>
      </c>
    </row>
    <row r="594" spans="1:11">
      <c r="A594" t="s">
        <v>798</v>
      </c>
      <c r="B594" s="14">
        <v>1002915744</v>
      </c>
      <c r="C594" t="s">
        <v>36</v>
      </c>
      <c r="D594" t="s">
        <v>59</v>
      </c>
      <c r="E594" t="s">
        <v>604</v>
      </c>
      <c r="F594" t="s">
        <v>10</v>
      </c>
      <c r="G594" t="s">
        <v>16</v>
      </c>
      <c r="H594" t="s">
        <v>305</v>
      </c>
      <c r="I594" t="str">
        <f t="shared" si="9"/>
        <v>GLOBAL DANACOR S.A.S GOR</v>
      </c>
      <c r="J594" t="str">
        <f>VLOOKUP(I594,[1]Base!$I:$J,2,0)</f>
        <v>Lina del Mar Florez</v>
      </c>
    </row>
    <row r="595" spans="1:11">
      <c r="A595" t="s">
        <v>799</v>
      </c>
      <c r="B595" s="14">
        <v>1000008537</v>
      </c>
      <c r="C595" t="s">
        <v>8</v>
      </c>
      <c r="D595" t="s">
        <v>60</v>
      </c>
      <c r="E595" t="s">
        <v>421</v>
      </c>
      <c r="F595" t="s">
        <v>10</v>
      </c>
      <c r="G595" t="s">
        <v>20</v>
      </c>
      <c r="H595" t="s">
        <v>305</v>
      </c>
      <c r="I595" t="str">
        <f t="shared" si="9"/>
        <v>GNP GRUPO NACIONAL DE PROYECTOS S A SGOR</v>
      </c>
      <c r="J595" t="str">
        <f>VLOOKUP(I595,[1]Base!$I:$J,2,0)</f>
        <v>Lina del Mar Florez</v>
      </c>
    </row>
    <row r="596" spans="1:11">
      <c r="A596" s="13" t="s">
        <v>693</v>
      </c>
      <c r="B596" s="16">
        <v>1003013225</v>
      </c>
      <c r="C596" t="s">
        <v>8</v>
      </c>
      <c r="D596" t="s">
        <v>62</v>
      </c>
      <c r="E596" t="s">
        <v>422</v>
      </c>
      <c r="F596" t="s">
        <v>10</v>
      </c>
      <c r="G596" t="s">
        <v>336</v>
      </c>
      <c r="H596" t="s">
        <v>305</v>
      </c>
      <c r="I596" t="str">
        <f t="shared" si="9"/>
        <v>GRUPO KASAMIA S A SGOR</v>
      </c>
      <c r="J596" t="str">
        <f>VLOOKUP(I596,[1]Base!$I:$J,2,0)</f>
        <v>Lina del Mar Florez</v>
      </c>
      <c r="K596" t="s">
        <v>256</v>
      </c>
    </row>
    <row r="597" spans="1:11">
      <c r="A597" t="s">
        <v>805</v>
      </c>
      <c r="B597" s="14">
        <v>1002994671</v>
      </c>
      <c r="C597" t="s">
        <v>5</v>
      </c>
      <c r="D597" t="s">
        <v>161</v>
      </c>
      <c r="E597" t="s">
        <v>610</v>
      </c>
      <c r="F597" t="s">
        <v>10</v>
      </c>
      <c r="G597" t="s">
        <v>15</v>
      </c>
      <c r="H597" t="s">
        <v>305</v>
      </c>
      <c r="I597" t="str">
        <f t="shared" si="9"/>
        <v>Grupo UMA S.A.S.GOR</v>
      </c>
      <c r="J597" t="str">
        <f>VLOOKUP(I597,[1]Base!$I:$J,2,0)</f>
        <v>Lina del Mar Florez</v>
      </c>
    </row>
    <row r="598" spans="1:11">
      <c r="A598" t="s">
        <v>809</v>
      </c>
      <c r="B598" s="14">
        <v>1002194463</v>
      </c>
      <c r="C598" t="s">
        <v>5</v>
      </c>
      <c r="D598" t="s">
        <v>181</v>
      </c>
      <c r="E598" t="s">
        <v>425</v>
      </c>
      <c r="F598" t="s">
        <v>10</v>
      </c>
      <c r="G598" t="s">
        <v>15</v>
      </c>
      <c r="H598" t="s">
        <v>305</v>
      </c>
      <c r="I598" t="str">
        <f t="shared" si="9"/>
        <v>Higinio CamachoGOR</v>
      </c>
      <c r="J598" t="str">
        <f>VLOOKUP(I598,[1]Base!$I:$J,2,0)</f>
        <v>Lina del Mar Florez</v>
      </c>
    </row>
    <row r="599" spans="1:11">
      <c r="A599" t="s">
        <v>925</v>
      </c>
      <c r="B599" s="14">
        <v>1000022030</v>
      </c>
      <c r="C599" s="1" t="s">
        <v>8</v>
      </c>
      <c r="D599" t="s">
        <v>321</v>
      </c>
      <c r="E599" t="s">
        <v>682</v>
      </c>
      <c r="F599" t="s">
        <v>12</v>
      </c>
      <c r="G599" t="s">
        <v>20</v>
      </c>
      <c r="H599" t="s">
        <v>20</v>
      </c>
      <c r="I599" t="str">
        <f t="shared" si="9"/>
        <v>HIPERMERCADO CENTRAL DE ELECTRODOMESTICOS S.A.S HICEL S.A.SGNCB</v>
      </c>
      <c r="J599" t="str">
        <f>VLOOKUP(I599,[1]Base!$I:$J,2,0)</f>
        <v>Juan Carlos Pinilla</v>
      </c>
    </row>
    <row r="600" spans="1:11">
      <c r="B600" s="14" t="e">
        <v>#N/A</v>
      </c>
      <c r="C600" t="s">
        <v>255</v>
      </c>
      <c r="D600" t="s">
        <v>287</v>
      </c>
      <c r="E600" t="s">
        <v>510</v>
      </c>
      <c r="F600" t="s">
        <v>10</v>
      </c>
      <c r="G600" t="s">
        <v>255</v>
      </c>
      <c r="H600" t="s">
        <v>255</v>
      </c>
      <c r="I600" t="str">
        <f t="shared" si="9"/>
        <v>HL GAS SASGOR</v>
      </c>
      <c r="J600" t="str">
        <f>VLOOKUP(I600,[1]Base!$I:$J,2,0)</f>
        <v>GNV</v>
      </c>
    </row>
    <row r="601" spans="1:11">
      <c r="A601" t="s">
        <v>814</v>
      </c>
      <c r="B601" s="14">
        <v>1002965241</v>
      </c>
      <c r="C601" t="s">
        <v>36</v>
      </c>
      <c r="D601" t="s">
        <v>142</v>
      </c>
      <c r="E601" t="s">
        <v>616</v>
      </c>
      <c r="F601" t="s">
        <v>10</v>
      </c>
      <c r="G601" t="s">
        <v>305</v>
      </c>
      <c r="H601" t="s">
        <v>305</v>
      </c>
      <c r="I601" t="str">
        <f t="shared" si="9"/>
        <v>IMPORTACIONES NISUTA S.A.SGOR</v>
      </c>
      <c r="J601" t="str">
        <f>VLOOKUP(I601,[1]Base!$I:$J,2,0)</f>
        <v>Lina del Mar Florez</v>
      </c>
    </row>
    <row r="602" spans="1:11">
      <c r="A602" t="s">
        <v>926</v>
      </c>
      <c r="B602" s="14">
        <v>1002869072</v>
      </c>
      <c r="C602" t="s">
        <v>8</v>
      </c>
      <c r="D602" t="s">
        <v>247</v>
      </c>
      <c r="E602" t="s">
        <v>546</v>
      </c>
      <c r="F602" t="s">
        <v>10</v>
      </c>
      <c r="G602" t="s">
        <v>20</v>
      </c>
      <c r="H602" t="s">
        <v>305</v>
      </c>
      <c r="I602" t="str">
        <f t="shared" si="9"/>
        <v>INACSA S.A.SGOR</v>
      </c>
      <c r="J602" t="str">
        <f>VLOOKUP(I602,[1]Base!$I:$J,2,0)</f>
        <v>Lina del Mar Florez</v>
      </c>
    </row>
    <row r="603" spans="1:11">
      <c r="B603" s="14" t="e">
        <v>#N/A</v>
      </c>
      <c r="C603" t="s">
        <v>254</v>
      </c>
      <c r="D603" t="s">
        <v>233</v>
      </c>
      <c r="E603" t="s">
        <v>534</v>
      </c>
      <c r="F603" t="s">
        <v>10</v>
      </c>
      <c r="G603" t="s">
        <v>254</v>
      </c>
      <c r="H603" t="s">
        <v>254</v>
      </c>
      <c r="I603" t="str">
        <f t="shared" si="9"/>
        <v>INDUSTRIAS HACEB S.AGOR</v>
      </c>
      <c r="J603" t="str">
        <f>VLOOKUP(I603,[1]Base!$I:$J,2,0)</f>
        <v>Seller</v>
      </c>
    </row>
    <row r="604" spans="1:11">
      <c r="A604" t="s">
        <v>820</v>
      </c>
      <c r="B604" s="14">
        <v>1003105300</v>
      </c>
      <c r="C604" t="s">
        <v>8</v>
      </c>
      <c r="D604" t="s">
        <v>282</v>
      </c>
      <c r="E604" t="s">
        <v>433</v>
      </c>
      <c r="F604" t="s">
        <v>10</v>
      </c>
      <c r="G604" t="s">
        <v>20</v>
      </c>
      <c r="H604" t="s">
        <v>305</v>
      </c>
      <c r="I604" t="str">
        <f t="shared" si="9"/>
        <v>INVERSIONES INNOVAR DE COLOMBIA SAGOR</v>
      </c>
      <c r="J604" t="str">
        <f>VLOOKUP(I604,[1]Base!$I:$J,2,0)</f>
        <v>Lina del Mar Florez</v>
      </c>
    </row>
    <row r="605" spans="1:11">
      <c r="A605" t="s">
        <v>823</v>
      </c>
      <c r="B605" s="14">
        <v>1003224198</v>
      </c>
      <c r="C605" t="s">
        <v>8</v>
      </c>
      <c r="D605" t="s">
        <v>334</v>
      </c>
      <c r="E605" t="s">
        <v>621</v>
      </c>
      <c r="F605" t="s">
        <v>10</v>
      </c>
      <c r="G605" t="s">
        <v>305</v>
      </c>
      <c r="H605" t="s">
        <v>305</v>
      </c>
      <c r="I605" t="str">
        <f t="shared" si="9"/>
        <v>INVERSIONES VARGAS &amp; GAFARO S.A.SGOR</v>
      </c>
      <c r="J605" t="str">
        <f>VLOOKUP(I605,[1]Base!$I:$J,2,0)</f>
        <v>Lina del Mar Florez</v>
      </c>
    </row>
    <row r="606" spans="1:11">
      <c r="A606" t="s">
        <v>827</v>
      </c>
      <c r="B606" s="14">
        <v>1002919234</v>
      </c>
      <c r="C606" t="s">
        <v>8</v>
      </c>
      <c r="D606" t="s">
        <v>72</v>
      </c>
      <c r="E606" t="s">
        <v>623</v>
      </c>
      <c r="F606" t="s">
        <v>10</v>
      </c>
      <c r="G606" t="s">
        <v>13</v>
      </c>
      <c r="H606" t="s">
        <v>305</v>
      </c>
      <c r="I606" t="str">
        <f t="shared" si="9"/>
        <v>Ivan Botero Gomez S.A.GOR</v>
      </c>
      <c r="J606" t="str">
        <f>VLOOKUP(I606,[1]Base!$I:$J,2,0)</f>
        <v>Lina del Mar Florez</v>
      </c>
    </row>
    <row r="607" spans="1:11">
      <c r="A607" s="13" t="s">
        <v>709</v>
      </c>
      <c r="B607" s="14">
        <v>1002981525</v>
      </c>
      <c r="C607" t="s">
        <v>5</v>
      </c>
      <c r="D607" t="s">
        <v>226</v>
      </c>
      <c r="E607" t="s">
        <v>511</v>
      </c>
      <c r="F607" t="s">
        <v>10</v>
      </c>
      <c r="G607" t="s">
        <v>305</v>
      </c>
      <c r="H607" t="s">
        <v>305</v>
      </c>
      <c r="I607" t="str">
        <f t="shared" si="9"/>
        <v>Iván David Cadena Burgos GOR</v>
      </c>
      <c r="J607" t="str">
        <f>VLOOKUP(I607,[1]Base!$I:$J,2,0)</f>
        <v>Lina del Mar Florez</v>
      </c>
      <c r="K607" t="s">
        <v>710</v>
      </c>
    </row>
    <row r="608" spans="1:11">
      <c r="A608" t="s">
        <v>833</v>
      </c>
      <c r="B608" s="14">
        <v>1002958567</v>
      </c>
      <c r="C608" t="s">
        <v>8</v>
      </c>
      <c r="D608" t="s">
        <v>74</v>
      </c>
      <c r="E608" t="s">
        <v>443</v>
      </c>
      <c r="F608" t="s">
        <v>10</v>
      </c>
      <c r="G608" t="s">
        <v>290</v>
      </c>
      <c r="H608" t="s">
        <v>305</v>
      </c>
      <c r="I608" t="str">
        <f t="shared" si="9"/>
        <v>LUIS NAPOLEON CALDERON MENDOZAGOR</v>
      </c>
      <c r="J608" t="str">
        <f>VLOOKUP(I608,[1]Base!$I:$J,2,0)</f>
        <v>Lina del Mar Florez</v>
      </c>
    </row>
    <row r="609" spans="1:11">
      <c r="A609" t="s">
        <v>834</v>
      </c>
      <c r="B609" s="14">
        <v>1000008688</v>
      </c>
      <c r="C609" t="s">
        <v>36</v>
      </c>
      <c r="D609" t="s">
        <v>75</v>
      </c>
      <c r="E609" t="s">
        <v>444</v>
      </c>
      <c r="F609" t="s">
        <v>10</v>
      </c>
      <c r="G609" t="s">
        <v>13</v>
      </c>
      <c r="H609" t="s">
        <v>305</v>
      </c>
      <c r="I609" t="str">
        <f t="shared" si="9"/>
        <v>M&amp;F SUPER GAS SASGOR</v>
      </c>
      <c r="J609" t="str">
        <f>VLOOKUP(I609,[1]Base!$I:$J,2,0)</f>
        <v>Lina del Mar Florez</v>
      </c>
    </row>
    <row r="610" spans="1:11">
      <c r="A610" t="s">
        <v>837</v>
      </c>
      <c r="B610" s="14">
        <v>1002950299</v>
      </c>
      <c r="C610" t="s">
        <v>5</v>
      </c>
      <c r="D610" t="s">
        <v>108</v>
      </c>
      <c r="E610" t="s">
        <v>626</v>
      </c>
      <c r="F610" t="s">
        <v>10</v>
      </c>
      <c r="G610" t="s">
        <v>22</v>
      </c>
      <c r="H610" t="s">
        <v>305</v>
      </c>
      <c r="I610" t="str">
        <f t="shared" si="9"/>
        <v>Masda S.A.S.GOR</v>
      </c>
      <c r="J610" t="str">
        <f>VLOOKUP(I610,[1]Base!$I:$J,2,0)</f>
        <v>Lina del Mar Florez</v>
      </c>
    </row>
    <row r="611" spans="1:11">
      <c r="A611" t="s">
        <v>842</v>
      </c>
      <c r="B611" s="14">
        <v>1002754415</v>
      </c>
      <c r="C611" t="s">
        <v>8</v>
      </c>
      <c r="D611" t="s">
        <v>78</v>
      </c>
      <c r="E611" t="s">
        <v>451</v>
      </c>
      <c r="F611" t="s">
        <v>10</v>
      </c>
      <c r="G611" t="s">
        <v>20</v>
      </c>
      <c r="H611" t="s">
        <v>305</v>
      </c>
      <c r="I611" t="str">
        <f t="shared" si="9"/>
        <v>MAXICASSA SASGOR</v>
      </c>
      <c r="J611" t="str">
        <f>VLOOKUP(I611,[1]Base!$I:$J,2,0)</f>
        <v>Lina del Mar Florez</v>
      </c>
    </row>
    <row r="612" spans="1:11">
      <c r="A612" t="s">
        <v>845</v>
      </c>
      <c r="B612" s="14" t="s">
        <v>947</v>
      </c>
      <c r="C612" t="s">
        <v>5</v>
      </c>
      <c r="D612" t="s">
        <v>80</v>
      </c>
      <c r="E612" t="s">
        <v>627</v>
      </c>
      <c r="F612" t="s">
        <v>10</v>
      </c>
      <c r="G612" t="s">
        <v>305</v>
      </c>
      <c r="H612" t="s">
        <v>305</v>
      </c>
      <c r="I612" t="str">
        <f t="shared" si="9"/>
        <v>METRO CYCLES S.A.S.GOR</v>
      </c>
      <c r="J612" t="str">
        <f>VLOOKUP(I612,[1]Base!$I:$J,2,0)</f>
        <v>Lina del Mar Florez</v>
      </c>
    </row>
    <row r="613" spans="1:11">
      <c r="A613" t="s">
        <v>846</v>
      </c>
      <c r="B613" s="14">
        <v>1003003843</v>
      </c>
      <c r="C613" t="s">
        <v>5</v>
      </c>
      <c r="D613" t="s">
        <v>137</v>
      </c>
      <c r="E613" t="s">
        <v>628</v>
      </c>
      <c r="F613" t="s">
        <v>10</v>
      </c>
      <c r="G613" t="s">
        <v>15</v>
      </c>
      <c r="H613" t="s">
        <v>305</v>
      </c>
      <c r="I613" t="str">
        <f t="shared" si="9"/>
        <v>Moto Auto Store S.A.S.GOR</v>
      </c>
      <c r="J613" t="str">
        <f>VLOOKUP(I613,[1]Base!$I:$J,2,0)</f>
        <v>Lina del Mar Florez</v>
      </c>
    </row>
    <row r="614" spans="1:11">
      <c r="A614" t="s">
        <v>850</v>
      </c>
      <c r="B614" s="14">
        <v>1002945590</v>
      </c>
      <c r="C614" t="s">
        <v>5</v>
      </c>
      <c r="D614" t="s">
        <v>82</v>
      </c>
      <c r="E614" t="s">
        <v>633</v>
      </c>
      <c r="F614" t="s">
        <v>10</v>
      </c>
      <c r="G614" t="s">
        <v>16</v>
      </c>
      <c r="H614" t="s">
        <v>305</v>
      </c>
      <c r="I614" t="str">
        <f t="shared" si="9"/>
        <v>Moto Xtreme Hero S.A.S.GOR</v>
      </c>
      <c r="J614" t="str">
        <f>VLOOKUP(I614,[1]Base!$I:$J,2,0)</f>
        <v>Lina del Mar Florez</v>
      </c>
    </row>
    <row r="615" spans="1:11">
      <c r="A615" s="13" t="s">
        <v>711</v>
      </c>
      <c r="B615" s="14">
        <v>1002994773</v>
      </c>
      <c r="C615" t="s">
        <v>5</v>
      </c>
      <c r="D615" t="s">
        <v>228</v>
      </c>
      <c r="E615" t="s">
        <v>512</v>
      </c>
      <c r="F615" t="s">
        <v>10</v>
      </c>
      <c r="G615" t="s">
        <v>305</v>
      </c>
      <c r="H615" t="s">
        <v>305</v>
      </c>
      <c r="I615" t="str">
        <f t="shared" si="9"/>
        <v>MOTOGOLD SASGOR</v>
      </c>
      <c r="J615" t="str">
        <f>VLOOKUP(I615,[1]Base!$I:$J,2,0)</f>
        <v>Lina del Mar Florez</v>
      </c>
      <c r="K615" t="s">
        <v>150</v>
      </c>
    </row>
    <row r="616" spans="1:11">
      <c r="A616" t="s">
        <v>869</v>
      </c>
      <c r="B616" s="14">
        <v>1002957876</v>
      </c>
      <c r="C616" t="s">
        <v>5</v>
      </c>
      <c r="D616" t="s">
        <v>89</v>
      </c>
      <c r="E616" t="s">
        <v>460</v>
      </c>
      <c r="F616" t="s">
        <v>10</v>
      </c>
      <c r="G616" t="s">
        <v>13</v>
      </c>
      <c r="H616" t="s">
        <v>305</v>
      </c>
      <c r="I616" t="str">
        <f t="shared" si="9"/>
        <v>MOTOZONA SASGOR</v>
      </c>
      <c r="J616" t="str">
        <f>VLOOKUP(I616,[1]Base!$I:$J,2,0)</f>
        <v>Lina del Mar Florez</v>
      </c>
    </row>
    <row r="617" spans="1:11">
      <c r="A617" t="s">
        <v>875</v>
      </c>
      <c r="B617" s="14">
        <v>1003012623</v>
      </c>
      <c r="C617" t="s">
        <v>5</v>
      </c>
      <c r="D617" t="s">
        <v>153</v>
      </c>
      <c r="E617" t="s">
        <v>650</v>
      </c>
      <c r="F617" t="s">
        <v>10</v>
      </c>
      <c r="G617" t="s">
        <v>336</v>
      </c>
      <c r="H617" t="s">
        <v>305</v>
      </c>
      <c r="I617" t="str">
        <f t="shared" si="9"/>
        <v>Mundo Cross Bogotá S.A.S.GOR</v>
      </c>
      <c r="J617" t="str">
        <f>VLOOKUP(I617,[1]Base!$I:$J,2,0)</f>
        <v>Lina del Mar Florez</v>
      </c>
    </row>
    <row r="618" spans="1:11">
      <c r="B618" s="14" t="e">
        <v>#N/A</v>
      </c>
      <c r="C618" t="s">
        <v>8</v>
      </c>
      <c r="D618" t="s">
        <v>299</v>
      </c>
      <c r="E618" t="s">
        <v>540</v>
      </c>
      <c r="F618" t="s">
        <v>10</v>
      </c>
      <c r="G618" t="s">
        <v>305</v>
      </c>
      <c r="H618" t="s">
        <v>305</v>
      </c>
      <c r="I618" t="str">
        <f t="shared" si="9"/>
        <v>Orlando Donado &amp; Compañía S.A.S.GOR</v>
      </c>
      <c r="J618" t="str">
        <f>VLOOKUP(I618,[1]Base!$I:$J,2,0)</f>
        <v>Lina del Mar Florez</v>
      </c>
      <c r="K618" t="s">
        <v>208</v>
      </c>
    </row>
    <row r="619" spans="1:11">
      <c r="A619" t="s">
        <v>929</v>
      </c>
      <c r="B619" s="14">
        <v>1002920119</v>
      </c>
      <c r="C619" t="s">
        <v>8</v>
      </c>
      <c r="D619" t="s">
        <v>96</v>
      </c>
      <c r="E619" t="s">
        <v>502</v>
      </c>
      <c r="F619" t="s">
        <v>10</v>
      </c>
      <c r="G619" t="s">
        <v>16</v>
      </c>
      <c r="H619" t="s">
        <v>305</v>
      </c>
      <c r="I619" t="str">
        <f t="shared" si="9"/>
        <v>PROYECTO E INVERSIONES GIRONA SASGOR</v>
      </c>
      <c r="J619" t="str">
        <f>VLOOKUP(I619,[1]Base!$I:$J,2,0)</f>
        <v>Lina del Mar Florez</v>
      </c>
    </row>
    <row r="620" spans="1:11">
      <c r="A620" t="s">
        <v>934</v>
      </c>
      <c r="B620" s="14">
        <v>1002958266</v>
      </c>
      <c r="C620" t="s">
        <v>5</v>
      </c>
      <c r="D620" t="s">
        <v>100</v>
      </c>
      <c r="E620" t="s">
        <v>513</v>
      </c>
      <c r="F620" t="s">
        <v>10</v>
      </c>
      <c r="G620" t="s">
        <v>305</v>
      </c>
      <c r="H620" t="s">
        <v>305</v>
      </c>
      <c r="I620" t="str">
        <f t="shared" si="9"/>
        <v>R&amp;R MOTOSGOR</v>
      </c>
      <c r="J620" t="str">
        <f>VLOOKUP(I620,[1]Base!$I:$J,2,0)</f>
        <v>Lina del Mar Florez</v>
      </c>
    </row>
    <row r="621" spans="1:11">
      <c r="B621" s="14" t="e">
        <v>#N/A</v>
      </c>
      <c r="C621" t="s">
        <v>254</v>
      </c>
      <c r="D621" t="s">
        <v>236</v>
      </c>
      <c r="E621" t="s">
        <v>467</v>
      </c>
      <c r="F621" t="s">
        <v>10</v>
      </c>
      <c r="G621" t="s">
        <v>254</v>
      </c>
      <c r="H621" t="s">
        <v>254</v>
      </c>
      <c r="I621" t="str">
        <f t="shared" si="9"/>
        <v>ROBERT BOSCH LTDAGOR</v>
      </c>
      <c r="J621" t="str">
        <f>VLOOKUP(I621,[1]Base!$I:$J,2,0)</f>
        <v>Seller</v>
      </c>
    </row>
    <row r="622" spans="1:11">
      <c r="B622" s="14" t="e">
        <v>#N/A</v>
      </c>
      <c r="C622" t="s">
        <v>297</v>
      </c>
      <c r="D622" t="s">
        <v>296</v>
      </c>
      <c r="E622" t="s">
        <v>470</v>
      </c>
      <c r="F622" t="s">
        <v>10</v>
      </c>
      <c r="G622" t="s">
        <v>208</v>
      </c>
      <c r="H622" t="s">
        <v>208</v>
      </c>
      <c r="I622" t="str">
        <f t="shared" si="9"/>
        <v>Sergas Colombia SASGOR</v>
      </c>
      <c r="J622" t="str">
        <f>VLOOKUP(I622,[1]Base!$I:$J,2,0)</f>
        <v>Firma Instaladora</v>
      </c>
    </row>
    <row r="623" spans="1:11">
      <c r="B623" s="14" t="e">
        <v>#N/A</v>
      </c>
      <c r="C623" t="s">
        <v>255</v>
      </c>
      <c r="D623" t="s">
        <v>279</v>
      </c>
      <c r="E623" t="s">
        <v>514</v>
      </c>
      <c r="F623" t="s">
        <v>10</v>
      </c>
      <c r="G623" t="s">
        <v>255</v>
      </c>
      <c r="H623" t="s">
        <v>255</v>
      </c>
      <c r="I623" t="str">
        <f t="shared" si="9"/>
        <v>SERVIGAS  CARS SASGOR</v>
      </c>
      <c r="J623" t="str">
        <f>VLOOKUP(I623,[1]Base!$I:$J,2,0)</f>
        <v>GNV</v>
      </c>
    </row>
    <row r="624" spans="1:11">
      <c r="B624" s="14" t="e">
        <v>#N/A</v>
      </c>
      <c r="C624" t="s">
        <v>255</v>
      </c>
      <c r="D624" t="s">
        <v>289</v>
      </c>
      <c r="E624" t="s">
        <v>514</v>
      </c>
      <c r="F624" t="s">
        <v>10</v>
      </c>
      <c r="G624" t="s">
        <v>255</v>
      </c>
      <c r="H624" t="s">
        <v>255</v>
      </c>
      <c r="I624" t="str">
        <f t="shared" si="9"/>
        <v>SERVIGAS CARS SASGOR</v>
      </c>
      <c r="J624" t="str">
        <f>VLOOKUP(I624,[1]Base!$I:$J,2,0)</f>
        <v>GNV</v>
      </c>
    </row>
    <row r="625" spans="1:10">
      <c r="A625" t="s">
        <v>891</v>
      </c>
      <c r="B625" s="14">
        <v>1002981513</v>
      </c>
      <c r="C625" t="s">
        <v>8</v>
      </c>
      <c r="D625" t="s">
        <v>127</v>
      </c>
      <c r="E625" t="s">
        <v>475</v>
      </c>
      <c r="F625" t="s">
        <v>10</v>
      </c>
      <c r="G625" t="s">
        <v>20</v>
      </c>
      <c r="H625" t="s">
        <v>305</v>
      </c>
      <c r="I625" t="str">
        <f t="shared" si="9"/>
        <v>SHAHARIT S A SGOR</v>
      </c>
      <c r="J625" t="str">
        <f>VLOOKUP(I625,[1]Base!$I:$J,2,0)</f>
        <v>Lina del Mar Florez</v>
      </c>
    </row>
    <row r="626" spans="1:10">
      <c r="A626" t="s">
        <v>935</v>
      </c>
      <c r="B626" s="14">
        <v>1003003627</v>
      </c>
      <c r="C626" t="s">
        <v>5</v>
      </c>
      <c r="D626" t="s">
        <v>155</v>
      </c>
      <c r="E626" t="s">
        <v>515</v>
      </c>
      <c r="F626" t="s">
        <v>10</v>
      </c>
      <c r="G626" t="s">
        <v>305</v>
      </c>
      <c r="H626" t="s">
        <v>305</v>
      </c>
      <c r="I626" t="str">
        <f t="shared" si="9"/>
        <v>Supercross LtdaGOR</v>
      </c>
      <c r="J626" t="str">
        <f>VLOOKUP(I626,[1]Base!$I:$J,2,0)</f>
        <v>Lina del Mar Florez</v>
      </c>
    </row>
    <row r="627" spans="1:10">
      <c r="B627" s="14" t="e">
        <v>#N/A</v>
      </c>
      <c r="C627" t="s">
        <v>297</v>
      </c>
      <c r="D627" t="s">
        <v>204</v>
      </c>
      <c r="E627" t="s">
        <v>516</v>
      </c>
      <c r="F627" t="s">
        <v>10</v>
      </c>
      <c r="G627" t="s">
        <v>208</v>
      </c>
      <c r="H627" t="s">
        <v>208</v>
      </c>
      <c r="I627" t="str">
        <f t="shared" si="9"/>
        <v>SYC SERTEG SASGOR</v>
      </c>
      <c r="J627" t="str">
        <f>VLOOKUP(I627,[1]Base!$I:$J,2,0)</f>
        <v>Firma Instaladora</v>
      </c>
    </row>
    <row r="628" spans="1:10">
      <c r="A628" t="s">
        <v>901</v>
      </c>
      <c r="B628" s="14">
        <v>1002893226</v>
      </c>
      <c r="C628" t="s">
        <v>36</v>
      </c>
      <c r="D628" t="s">
        <v>168</v>
      </c>
      <c r="E628" t="s">
        <v>482</v>
      </c>
      <c r="F628" t="s">
        <v>10</v>
      </c>
      <c r="G628" t="s">
        <v>7</v>
      </c>
      <c r="H628" t="s">
        <v>344</v>
      </c>
      <c r="I628" t="str">
        <f t="shared" si="9"/>
        <v>TECH RED SASGOR</v>
      </c>
      <c r="J628" t="str">
        <f>VLOOKUP(I628,[1]Base!$I:$J,2,0)</f>
        <v>Lina del Mar Florez</v>
      </c>
    </row>
    <row r="629" spans="1:10">
      <c r="A629" t="s">
        <v>690</v>
      </c>
      <c r="B629" s="14">
        <v>1002951788</v>
      </c>
      <c r="C629" t="s">
        <v>5</v>
      </c>
      <c r="D629" t="s">
        <v>310</v>
      </c>
      <c r="E629" t="s">
        <v>667</v>
      </c>
      <c r="F629" t="s">
        <v>10</v>
      </c>
      <c r="G629" t="s">
        <v>290</v>
      </c>
      <c r="H629" t="s">
        <v>305</v>
      </c>
      <c r="I629" t="str">
        <f t="shared" si="9"/>
        <v>TODOMOTOS VS S.A.S.GOR</v>
      </c>
      <c r="J629" t="str">
        <f>VLOOKUP(I629,[1]Base!$I:$J,2,0)</f>
        <v>Lina del Mar Florez</v>
      </c>
    </row>
    <row r="630" spans="1:10">
      <c r="B630" s="14" t="e">
        <v>#N/A</v>
      </c>
      <c r="C630" t="s">
        <v>297</v>
      </c>
      <c r="D630" t="s">
        <v>202</v>
      </c>
      <c r="E630" t="s">
        <v>485</v>
      </c>
      <c r="F630" t="s">
        <v>10</v>
      </c>
      <c r="G630" t="s">
        <v>208</v>
      </c>
      <c r="H630" t="s">
        <v>208</v>
      </c>
      <c r="I630" t="str">
        <f t="shared" si="9"/>
        <v>TOQUE DE HOGAR SASGOR</v>
      </c>
      <c r="J630" t="str">
        <f>VLOOKUP(I630,[1]Base!$I:$J,2,0)</f>
        <v>Firma Instaladora</v>
      </c>
    </row>
    <row r="631" spans="1:10">
      <c r="A631" t="s">
        <v>905</v>
      </c>
      <c r="B631" s="14">
        <v>1002920092</v>
      </c>
      <c r="C631" t="s">
        <v>8</v>
      </c>
      <c r="D631" t="s">
        <v>106</v>
      </c>
      <c r="E631" t="s">
        <v>670</v>
      </c>
      <c r="F631" t="s">
        <v>10</v>
      </c>
      <c r="G631" t="s">
        <v>290</v>
      </c>
      <c r="H631" t="s">
        <v>305</v>
      </c>
      <c r="I631" t="str">
        <f t="shared" si="9"/>
        <v>Ultracem S.A.S.GOR</v>
      </c>
      <c r="J631" t="str">
        <f>VLOOKUP(I631,[1]Base!$I:$J,2,0)</f>
        <v>Lina del Mar Florez</v>
      </c>
    </row>
    <row r="632" spans="1:10">
      <c r="A632" t="s">
        <v>717</v>
      </c>
      <c r="B632" s="14">
        <v>1003022623</v>
      </c>
      <c r="C632" t="s">
        <v>5</v>
      </c>
      <c r="D632" t="s">
        <v>171</v>
      </c>
      <c r="E632" t="s">
        <v>551</v>
      </c>
      <c r="F632" t="s">
        <v>10</v>
      </c>
      <c r="G632" t="s">
        <v>305</v>
      </c>
      <c r="H632" t="s">
        <v>305</v>
      </c>
      <c r="I632" t="str">
        <f t="shared" si="9"/>
        <v>AGRO HONDA LA S.A.SGOR</v>
      </c>
      <c r="J632" t="str">
        <f>VLOOKUP(I632,[1]Base!$I:$J,2,0)</f>
        <v>Lina del Mar Florez</v>
      </c>
    </row>
    <row r="633" spans="1:10">
      <c r="A633" t="s">
        <v>936</v>
      </c>
      <c r="B633" s="14">
        <v>1000012701</v>
      </c>
      <c r="C633" t="s">
        <v>8</v>
      </c>
      <c r="D633" t="s">
        <v>9</v>
      </c>
      <c r="E633" t="s">
        <v>517</v>
      </c>
      <c r="F633" t="s">
        <v>10</v>
      </c>
      <c r="G633" t="s">
        <v>305</v>
      </c>
      <c r="H633" t="s">
        <v>305</v>
      </c>
      <c r="I633" t="str">
        <f t="shared" si="9"/>
        <v>ALDIA SASGOR</v>
      </c>
      <c r="J633" t="str">
        <f>VLOOKUP(I633,[1]Base!$I:$J,2,0)</f>
        <v>Lina del Mar Florez</v>
      </c>
    </row>
    <row r="634" spans="1:10">
      <c r="A634" t="s">
        <v>723</v>
      </c>
      <c r="B634" s="14">
        <v>1000008275</v>
      </c>
      <c r="C634" t="s">
        <v>18</v>
      </c>
      <c r="D634" t="s">
        <v>19</v>
      </c>
      <c r="E634" t="s">
        <v>378</v>
      </c>
      <c r="F634" t="s">
        <v>10</v>
      </c>
      <c r="G634" t="s">
        <v>291</v>
      </c>
      <c r="H634" t="s">
        <v>344</v>
      </c>
      <c r="I634" t="str">
        <f t="shared" si="9"/>
        <v>ALMACENES EXITO S AGOR</v>
      </c>
      <c r="J634" t="str">
        <f>VLOOKUP(I634,[1]Base!$I:$J,2,0)</f>
        <v>Lina del Mar Florez</v>
      </c>
    </row>
    <row r="635" spans="1:10">
      <c r="A635" t="s">
        <v>729</v>
      </c>
      <c r="B635" s="14">
        <v>1000422552</v>
      </c>
      <c r="C635" t="s">
        <v>8</v>
      </c>
      <c r="D635" t="s">
        <v>132</v>
      </c>
      <c r="E635" t="s">
        <v>389</v>
      </c>
      <c r="F635" t="s">
        <v>10</v>
      </c>
      <c r="G635" t="s">
        <v>305</v>
      </c>
      <c r="H635" t="s">
        <v>305</v>
      </c>
      <c r="I635" t="str">
        <f t="shared" si="9"/>
        <v>ASYCO SASGOR</v>
      </c>
      <c r="J635" t="str">
        <f>VLOOKUP(I635,[1]Base!$I:$J,2,0)</f>
        <v>Lina del Mar Florez</v>
      </c>
    </row>
    <row r="636" spans="1:10">
      <c r="A636" t="s">
        <v>730</v>
      </c>
      <c r="B636" s="14">
        <v>1003142750</v>
      </c>
      <c r="C636" t="s">
        <v>5</v>
      </c>
      <c r="D636" t="s">
        <v>309</v>
      </c>
      <c r="E636" t="s">
        <v>557</v>
      </c>
      <c r="F636" t="s">
        <v>10</v>
      </c>
      <c r="G636" t="s">
        <v>22</v>
      </c>
      <c r="H636" t="s">
        <v>305</v>
      </c>
      <c r="I636" t="str">
        <f t="shared" si="9"/>
        <v>AUTECO S.A.S.GOR</v>
      </c>
      <c r="J636" t="str">
        <f>VLOOKUP(I636,[1]Base!$I:$J,2,0)</f>
        <v>Lina del Mar Florez</v>
      </c>
    </row>
    <row r="637" spans="1:10">
      <c r="A637" t="s">
        <v>746</v>
      </c>
      <c r="B637" s="14">
        <v>1003114806</v>
      </c>
      <c r="C637" t="s">
        <v>8</v>
      </c>
      <c r="D637" t="s">
        <v>283</v>
      </c>
      <c r="E637" t="s">
        <v>393</v>
      </c>
      <c r="F637" t="s">
        <v>10</v>
      </c>
      <c r="G637" t="s">
        <v>305</v>
      </c>
      <c r="H637" t="s">
        <v>305</v>
      </c>
      <c r="I637" t="str">
        <f t="shared" si="9"/>
        <v>CHACAM TRADING SASGOR</v>
      </c>
      <c r="J637" t="str">
        <f>VLOOKUP(I637,[1]Base!$I:$J,2,0)</f>
        <v>Lina del Mar Florez</v>
      </c>
    </row>
    <row r="638" spans="1:10">
      <c r="A638" t="s">
        <v>752</v>
      </c>
      <c r="B638" s="14">
        <v>1000008276</v>
      </c>
      <c r="C638" t="s">
        <v>18</v>
      </c>
      <c r="D638" t="s">
        <v>33</v>
      </c>
      <c r="E638" t="s">
        <v>398</v>
      </c>
      <c r="F638" t="s">
        <v>10</v>
      </c>
      <c r="G638" t="s">
        <v>304</v>
      </c>
      <c r="H638" t="s">
        <v>344</v>
      </c>
      <c r="I638" t="str">
        <f t="shared" si="9"/>
        <v>COLOMBIANA DE COMERCIOGOR</v>
      </c>
      <c r="J638" t="str">
        <f>VLOOKUP(I638,[1]Base!$I:$J,2,0)</f>
        <v>Lina del Mar Florez</v>
      </c>
    </row>
    <row r="639" spans="1:10">
      <c r="A639" t="s">
        <v>922</v>
      </c>
      <c r="B639" s="14">
        <v>1003019596</v>
      </c>
      <c r="C639" t="s">
        <v>5</v>
      </c>
      <c r="D639" t="s">
        <v>157</v>
      </c>
      <c r="E639" t="s">
        <v>680</v>
      </c>
      <c r="F639" t="s">
        <v>10</v>
      </c>
      <c r="G639" t="s">
        <v>290</v>
      </c>
      <c r="H639" t="s">
        <v>305</v>
      </c>
      <c r="I639" t="str">
        <f t="shared" si="9"/>
        <v>COMERCIAL MEYER CESAR S.A.S ZOMACGOR</v>
      </c>
      <c r="J639" t="str">
        <f>VLOOKUP(I639,[1]Base!$I:$J,2,0)</f>
        <v>Lina del Mar Florez</v>
      </c>
    </row>
    <row r="640" spans="1:10">
      <c r="A640" t="s">
        <v>913</v>
      </c>
      <c r="B640" s="14">
        <v>1002966197</v>
      </c>
      <c r="C640" t="s">
        <v>5</v>
      </c>
      <c r="D640" t="s">
        <v>40</v>
      </c>
      <c r="E640" t="s">
        <v>491</v>
      </c>
      <c r="F640" t="s">
        <v>10</v>
      </c>
      <c r="G640" t="s">
        <v>305</v>
      </c>
      <c r="H640" t="s">
        <v>305</v>
      </c>
      <c r="I640" t="str">
        <f t="shared" si="9"/>
        <v>COMPAÑÍA DE SERVICIOS ARENAS ROJAS SASGOR</v>
      </c>
      <c r="J640" t="str">
        <f>VLOOKUP(I640,[1]Base!$I:$J,2,0)</f>
        <v>Lina del Mar Florez</v>
      </c>
    </row>
    <row r="641" spans="1:10">
      <c r="A641" t="s">
        <v>767</v>
      </c>
      <c r="B641" s="14">
        <v>1002977628</v>
      </c>
      <c r="C641" t="s">
        <v>5</v>
      </c>
      <c r="D641" t="s">
        <v>110</v>
      </c>
      <c r="E641" t="s">
        <v>580</v>
      </c>
      <c r="F641" t="s">
        <v>10</v>
      </c>
      <c r="G641" t="s">
        <v>15</v>
      </c>
      <c r="H641" t="s">
        <v>305</v>
      </c>
      <c r="I641" t="str">
        <f t="shared" si="9"/>
        <v>Credimovil de Colombia S.A.S.GOR</v>
      </c>
      <c r="J641" t="str">
        <f>VLOOKUP(I641,[1]Base!$I:$J,2,0)</f>
        <v>Lina del Mar Florez</v>
      </c>
    </row>
    <row r="642" spans="1:10">
      <c r="A642" t="s">
        <v>775</v>
      </c>
      <c r="B642" s="14">
        <v>1003003607</v>
      </c>
      <c r="C642" t="s">
        <v>5</v>
      </c>
      <c r="D642" t="s">
        <v>216</v>
      </c>
      <c r="E642" t="s">
        <v>586</v>
      </c>
      <c r="F642" t="s">
        <v>10</v>
      </c>
      <c r="G642" t="s">
        <v>305</v>
      </c>
      <c r="H642" t="s">
        <v>305</v>
      </c>
      <c r="I642" t="str">
        <f t="shared" si="9"/>
        <v>Distribuidora Motocentro S.A.SGOR</v>
      </c>
      <c r="J642" t="str">
        <f>VLOOKUP(I642,[1]Base!$I:$J,2,0)</f>
        <v>Lina del Mar Florez</v>
      </c>
    </row>
    <row r="643" spans="1:10">
      <c r="A643" t="s">
        <v>776</v>
      </c>
      <c r="B643" s="14">
        <v>10000088242</v>
      </c>
      <c r="C643" t="s">
        <v>8</v>
      </c>
      <c r="D643" t="s">
        <v>222</v>
      </c>
      <c r="E643" t="s">
        <v>528</v>
      </c>
      <c r="F643" t="s">
        <v>10</v>
      </c>
      <c r="G643" t="s">
        <v>305</v>
      </c>
      <c r="H643" t="s">
        <v>305</v>
      </c>
      <c r="I643" t="str">
        <f t="shared" ref="I643:I675" si="10">D643&amp;F643</f>
        <v>DISTRIBUIDORA REX S.A.S.GOR</v>
      </c>
      <c r="J643" t="str">
        <f>VLOOKUP(I643,[1]Base!$I:$J,2,0)</f>
        <v>Lina del Mar Florez</v>
      </c>
    </row>
    <row r="644" spans="1:10">
      <c r="A644" t="s">
        <v>785</v>
      </c>
      <c r="B644" s="14">
        <v>1000024431</v>
      </c>
      <c r="C644" t="s">
        <v>36</v>
      </c>
      <c r="D644" t="s">
        <v>55</v>
      </c>
      <c r="E644" t="s">
        <v>595</v>
      </c>
      <c r="F644" t="s">
        <v>10</v>
      </c>
      <c r="G644" t="s">
        <v>290</v>
      </c>
      <c r="H644" t="s">
        <v>305</v>
      </c>
      <c r="I644" t="str">
        <f t="shared" si="10"/>
        <v>ELECTRO AO S.A.SGOR</v>
      </c>
      <c r="J644" t="str">
        <f>VLOOKUP(I644,[1]Base!$I:$J,2,0)</f>
        <v>Lina del Mar Florez</v>
      </c>
    </row>
    <row r="645" spans="1:10">
      <c r="A645" t="s">
        <v>802</v>
      </c>
      <c r="B645" s="14">
        <v>1003131109</v>
      </c>
      <c r="C645" t="s">
        <v>8</v>
      </c>
      <c r="D645" t="s">
        <v>317</v>
      </c>
      <c r="E645" t="s">
        <v>607</v>
      </c>
      <c r="F645" t="s">
        <v>10</v>
      </c>
      <c r="G645" t="s">
        <v>305</v>
      </c>
      <c r="H645" t="s">
        <v>305</v>
      </c>
      <c r="I645" t="str">
        <f t="shared" si="10"/>
        <v>GRUPO FERRETERO F.C. S.A.S.GOR</v>
      </c>
      <c r="J645" t="str">
        <f>VLOOKUP(I645,[1]Base!$I:$J,2,0)</f>
        <v>Lina del Mar Florez</v>
      </c>
    </row>
    <row r="646" spans="1:10">
      <c r="A646" t="s">
        <v>803</v>
      </c>
      <c r="B646" s="14">
        <v>1002920104</v>
      </c>
      <c r="C646" t="s">
        <v>36</v>
      </c>
      <c r="D646" t="s">
        <v>64</v>
      </c>
      <c r="E646" t="s">
        <v>608</v>
      </c>
      <c r="F646" t="s">
        <v>10</v>
      </c>
      <c r="G646" t="s">
        <v>7</v>
      </c>
      <c r="H646" t="s">
        <v>305</v>
      </c>
      <c r="I646" t="str">
        <f t="shared" si="10"/>
        <v>GRUPO MERPES S.A.SGOR</v>
      </c>
      <c r="J646" t="str">
        <f>VLOOKUP(I646,[1]Base!$I:$J,2,0)</f>
        <v>Lina del Mar Florez</v>
      </c>
    </row>
    <row r="647" spans="1:10">
      <c r="A647" t="s">
        <v>804</v>
      </c>
      <c r="B647" s="14">
        <v>1002965236</v>
      </c>
      <c r="C647" t="s">
        <v>5</v>
      </c>
      <c r="D647" t="s">
        <v>65</v>
      </c>
      <c r="E647" t="s">
        <v>609</v>
      </c>
      <c r="F647" t="s">
        <v>10</v>
      </c>
      <c r="G647" t="s">
        <v>22</v>
      </c>
      <c r="H647" t="s">
        <v>305</v>
      </c>
      <c r="I647" t="str">
        <f t="shared" si="10"/>
        <v>Grupo Supermotos S.A.S.GOR</v>
      </c>
      <c r="J647" t="str">
        <f>VLOOKUP(I647,[1]Base!$I:$J,2,0)</f>
        <v>Lina del Mar Florez</v>
      </c>
    </row>
    <row r="648" spans="1:10">
      <c r="A648" t="s">
        <v>808</v>
      </c>
      <c r="B648" s="14" t="s">
        <v>945</v>
      </c>
      <c r="C648" t="s">
        <v>5</v>
      </c>
      <c r="D648" t="s">
        <v>67</v>
      </c>
      <c r="E648" t="s">
        <v>423</v>
      </c>
      <c r="F648" t="s">
        <v>10</v>
      </c>
      <c r="G648" t="s">
        <v>305</v>
      </c>
      <c r="H648" t="s">
        <v>305</v>
      </c>
      <c r="I648" t="str">
        <f t="shared" si="10"/>
        <v>HENRY ALEXANDER MARTINEZ HERNANDEZ - HENRYMOTOS2GOR</v>
      </c>
      <c r="J648" t="str">
        <f>VLOOKUP(I648,[1]Base!$I:$J,2,0)</f>
        <v>Lina del Mar Florez</v>
      </c>
    </row>
    <row r="649" spans="1:10">
      <c r="A649" t="s">
        <v>810</v>
      </c>
      <c r="B649" s="14">
        <v>1003122805</v>
      </c>
      <c r="C649" t="s">
        <v>5</v>
      </c>
      <c r="D649" t="s">
        <v>308</v>
      </c>
      <c r="E649" t="s">
        <v>613</v>
      </c>
      <c r="F649" t="s">
        <v>10</v>
      </c>
      <c r="G649" t="s">
        <v>22</v>
      </c>
      <c r="H649" t="s">
        <v>305</v>
      </c>
      <c r="I649" t="str">
        <f t="shared" si="10"/>
        <v>HMCL COLOMBIA S.A.S.GOR</v>
      </c>
      <c r="J649" t="str">
        <f>VLOOKUP(I649,[1]Base!$I:$J,2,0)</f>
        <v>Lina del Mar Florez</v>
      </c>
    </row>
    <row r="650" spans="1:10">
      <c r="A650" t="s">
        <v>817</v>
      </c>
      <c r="B650" s="14" t="s">
        <v>946</v>
      </c>
      <c r="C650" t="s">
        <v>8</v>
      </c>
      <c r="D650" t="s">
        <v>125</v>
      </c>
      <c r="E650" t="s">
        <v>618</v>
      </c>
      <c r="F650" t="s">
        <v>10</v>
      </c>
      <c r="G650" t="s">
        <v>305</v>
      </c>
      <c r="H650" t="s">
        <v>305</v>
      </c>
      <c r="I650" t="str">
        <f t="shared" si="10"/>
        <v>INVERSIONES ARENAS SERRANO S.A.S.GOR</v>
      </c>
      <c r="J650" t="str">
        <f>VLOOKUP(I650,[1]Base!$I:$J,2,0)</f>
        <v>Lina del Mar Florez</v>
      </c>
    </row>
    <row r="651" spans="1:10">
      <c r="A651" t="s">
        <v>838</v>
      </c>
      <c r="B651" s="14">
        <v>1002980640</v>
      </c>
      <c r="C651" t="s">
        <v>8</v>
      </c>
      <c r="D651" t="s">
        <v>117</v>
      </c>
      <c r="E651" t="s">
        <v>447</v>
      </c>
      <c r="F651" t="s">
        <v>10</v>
      </c>
      <c r="G651" t="s">
        <v>305</v>
      </c>
      <c r="H651" t="s">
        <v>305</v>
      </c>
      <c r="I651" t="str">
        <f t="shared" si="10"/>
        <v>MASERVINOX SAS MANTENIMIENTO SERVICIOS INOXIDABLEGOR</v>
      </c>
      <c r="J651" t="str">
        <f>VLOOKUP(I651,[1]Base!$I:$J,2,0)</f>
        <v>Lina del Mar Florez</v>
      </c>
    </row>
    <row r="652" spans="1:10">
      <c r="A652" t="s">
        <v>843</v>
      </c>
      <c r="B652" s="14">
        <v>1002864592</v>
      </c>
      <c r="C652" t="s">
        <v>36</v>
      </c>
      <c r="D652" t="s">
        <v>79</v>
      </c>
      <c r="E652" t="s">
        <v>452</v>
      </c>
      <c r="F652" t="s">
        <v>10</v>
      </c>
      <c r="G652" t="s">
        <v>305</v>
      </c>
      <c r="H652" t="s">
        <v>305</v>
      </c>
      <c r="I652" t="str">
        <f t="shared" si="10"/>
        <v>MAXIMUEBLES JC SASGOR</v>
      </c>
      <c r="J652" t="str">
        <f>VLOOKUP(I652,[1]Base!$I:$J,2,0)</f>
        <v>Lina del Mar Florez</v>
      </c>
    </row>
    <row r="653" spans="1:10">
      <c r="A653" t="s">
        <v>844</v>
      </c>
      <c r="B653" s="14">
        <v>1002995078</v>
      </c>
      <c r="C653" t="s">
        <v>5</v>
      </c>
      <c r="D653" t="s">
        <v>126</v>
      </c>
      <c r="E653" t="s">
        <v>453</v>
      </c>
      <c r="F653" t="s">
        <v>10</v>
      </c>
      <c r="G653" t="s">
        <v>305</v>
      </c>
      <c r="H653" t="s">
        <v>305</v>
      </c>
      <c r="I653" t="str">
        <f t="shared" si="10"/>
        <v>Mercamotos Santander SASGOR</v>
      </c>
      <c r="J653" t="str">
        <f>VLOOKUP(I653,[1]Base!$I:$J,2,0)</f>
        <v>Lina del Mar Florez</v>
      </c>
    </row>
    <row r="654" spans="1:10">
      <c r="A654" t="s">
        <v>856</v>
      </c>
      <c r="B654" s="14">
        <v>1002919241</v>
      </c>
      <c r="C654" t="s">
        <v>5</v>
      </c>
      <c r="D654" t="s">
        <v>84</v>
      </c>
      <c r="E654" t="s">
        <v>638</v>
      </c>
      <c r="F654" t="s">
        <v>10</v>
      </c>
      <c r="G654" t="s">
        <v>22</v>
      </c>
      <c r="H654" t="s">
        <v>305</v>
      </c>
      <c r="I654" t="str">
        <f t="shared" si="10"/>
        <v>Motored de Colombia S.A.S.GOR</v>
      </c>
      <c r="J654" t="str">
        <f>VLOOKUP(I654,[1]Base!$I:$J,2,0)</f>
        <v>Lina del Mar Florez</v>
      </c>
    </row>
    <row r="655" spans="1:10">
      <c r="A655" t="s">
        <v>857</v>
      </c>
      <c r="B655" s="14">
        <v>1003079662</v>
      </c>
      <c r="C655" t="s">
        <v>5</v>
      </c>
      <c r="D655" t="s">
        <v>288</v>
      </c>
      <c r="E655" t="s">
        <v>536</v>
      </c>
      <c r="F655" t="s">
        <v>10</v>
      </c>
      <c r="G655" t="s">
        <v>305</v>
      </c>
      <c r="H655" t="s">
        <v>305</v>
      </c>
      <c r="I655" t="str">
        <f t="shared" si="10"/>
        <v>MOTORIENTE BUCARAMANGA LTDA.GOR</v>
      </c>
      <c r="J655" t="str">
        <f>VLOOKUP(I655,[1]Base!$I:$J,2,0)</f>
        <v>Lina del Mar Florez</v>
      </c>
    </row>
    <row r="656" spans="1:10">
      <c r="A656" t="s">
        <v>867</v>
      </c>
      <c r="B656" s="14">
        <v>1001251176</v>
      </c>
      <c r="C656" t="s">
        <v>5</v>
      </c>
      <c r="D656" t="s">
        <v>144</v>
      </c>
      <c r="E656" t="s">
        <v>459</v>
      </c>
      <c r="F656" t="s">
        <v>10</v>
      </c>
      <c r="G656" t="s">
        <v>305</v>
      </c>
      <c r="H656" t="s">
        <v>305</v>
      </c>
      <c r="I656" t="str">
        <f t="shared" si="10"/>
        <v>Motos y MotosGOR</v>
      </c>
      <c r="J656" t="str">
        <f>VLOOKUP(I656,[1]Base!$I:$J,2,0)</f>
        <v>Lina del Mar Florez</v>
      </c>
    </row>
    <row r="657" spans="1:11">
      <c r="A657" t="s">
        <v>874</v>
      </c>
      <c r="B657" s="14">
        <v>1000008666</v>
      </c>
      <c r="C657" t="s">
        <v>36</v>
      </c>
      <c r="D657" t="s">
        <v>91</v>
      </c>
      <c r="E657" t="s">
        <v>461</v>
      </c>
      <c r="F657" t="s">
        <v>10</v>
      </c>
      <c r="G657" t="s">
        <v>7</v>
      </c>
      <c r="H657" t="s">
        <v>344</v>
      </c>
      <c r="I657" t="str">
        <f t="shared" si="10"/>
        <v>Multintegral SASGOR</v>
      </c>
      <c r="J657" t="str">
        <f>VLOOKUP(I657,[1]Base!$I:$J,2,0)</f>
        <v>Lina del Mar Florez</v>
      </c>
    </row>
    <row r="658" spans="1:11">
      <c r="A658" t="s">
        <v>875</v>
      </c>
      <c r="B658" s="14">
        <v>1003012623</v>
      </c>
      <c r="C658" t="s">
        <v>5</v>
      </c>
      <c r="D658" t="s">
        <v>220</v>
      </c>
      <c r="E658" t="s">
        <v>462</v>
      </c>
      <c r="F658" t="s">
        <v>10</v>
      </c>
      <c r="G658" t="s">
        <v>305</v>
      </c>
      <c r="H658" t="s">
        <v>305</v>
      </c>
      <c r="I658" t="str">
        <f t="shared" si="10"/>
        <v>MUNDO CROSS LTDAGOR</v>
      </c>
      <c r="J658" t="str">
        <f>VLOOKUP(I658,[1]Base!$I:$J,2,0)</f>
        <v>Lina del Mar Florez</v>
      </c>
    </row>
    <row r="659" spans="1:11">
      <c r="A659" t="s">
        <v>937</v>
      </c>
      <c r="B659" s="14">
        <v>1002964662</v>
      </c>
      <c r="C659" t="s">
        <v>5</v>
      </c>
      <c r="D659" t="s">
        <v>130</v>
      </c>
      <c r="E659" t="s">
        <v>518</v>
      </c>
      <c r="F659" t="s">
        <v>10</v>
      </c>
      <c r="G659" t="s">
        <v>305</v>
      </c>
      <c r="H659" t="s">
        <v>305</v>
      </c>
      <c r="I659" t="str">
        <f t="shared" si="10"/>
        <v>NELSON HEREDIA VARGASGOR</v>
      </c>
      <c r="J659" t="str">
        <f>VLOOKUP(I659,[1]Base!$I:$J,2,0)</f>
        <v>Lina del Mar Florez</v>
      </c>
    </row>
    <row r="660" spans="1:11">
      <c r="A660" t="s">
        <v>881</v>
      </c>
      <c r="B660" s="14">
        <v>1002864593</v>
      </c>
      <c r="C660" t="s">
        <v>8</v>
      </c>
      <c r="D660" t="s">
        <v>94</v>
      </c>
      <c r="E660" t="s">
        <v>466</v>
      </c>
      <c r="F660" t="s">
        <v>10</v>
      </c>
      <c r="G660" t="s">
        <v>305</v>
      </c>
      <c r="H660" t="s">
        <v>305</v>
      </c>
      <c r="I660" t="str">
        <f t="shared" si="10"/>
        <v>PISOS Y ENCHAPES RYL SASGOR</v>
      </c>
      <c r="J660" t="str">
        <f>VLOOKUP(I660,[1]Base!$I:$J,2,0)</f>
        <v>Lina del Mar Florez</v>
      </c>
    </row>
    <row r="661" spans="1:11">
      <c r="A661" t="s">
        <v>884</v>
      </c>
      <c r="B661" s="14">
        <v>1002953842</v>
      </c>
      <c r="C661" t="s">
        <v>8</v>
      </c>
      <c r="D661" t="s">
        <v>98</v>
      </c>
      <c r="E661" t="s">
        <v>655</v>
      </c>
      <c r="F661" t="s">
        <v>10</v>
      </c>
      <c r="G661" t="s">
        <v>290</v>
      </c>
      <c r="H661" t="s">
        <v>305</v>
      </c>
      <c r="I661" t="str">
        <f t="shared" si="10"/>
        <v>PUNTO CENTER S.A.SGOR</v>
      </c>
      <c r="J661" t="str">
        <f>VLOOKUP(I661,[1]Base!$I:$J,2,0)</f>
        <v>Lina del Mar Florez</v>
      </c>
    </row>
    <row r="662" spans="1:11">
      <c r="A662" s="17" t="s">
        <v>712</v>
      </c>
      <c r="B662" s="18">
        <v>1002155642</v>
      </c>
      <c r="C662" t="s">
        <v>5</v>
      </c>
      <c r="D662" t="s">
        <v>141</v>
      </c>
      <c r="E662" t="s">
        <v>519</v>
      </c>
      <c r="F662" t="s">
        <v>10</v>
      </c>
      <c r="G662" t="s">
        <v>305</v>
      </c>
      <c r="H662" t="s">
        <v>305</v>
      </c>
      <c r="I662" t="str">
        <f t="shared" si="10"/>
        <v>Ricardo Ortiz RamírezGOR</v>
      </c>
      <c r="J662" t="str">
        <f>VLOOKUP(I662,[1]Base!$I:$J,2,0)</f>
        <v>Lina del Mar Florez</v>
      </c>
      <c r="K662" t="s">
        <v>713</v>
      </c>
    </row>
    <row r="663" spans="1:11">
      <c r="A663" t="s">
        <v>894</v>
      </c>
      <c r="B663" s="14">
        <v>1000007614</v>
      </c>
      <c r="C663" t="s">
        <v>18</v>
      </c>
      <c r="D663" t="s">
        <v>251</v>
      </c>
      <c r="E663" t="s">
        <v>477</v>
      </c>
      <c r="F663" t="s">
        <v>10</v>
      </c>
      <c r="G663" t="s">
        <v>252</v>
      </c>
      <c r="H663" t="s">
        <v>344</v>
      </c>
      <c r="I663" t="str">
        <f t="shared" si="10"/>
        <v>SODIMAC COLOMBIA SAGOR</v>
      </c>
      <c r="J663" t="str">
        <f>VLOOKUP(I663,[1]Base!$I:$J,2,0)</f>
        <v>Lina del Mar Florez</v>
      </c>
    </row>
    <row r="664" spans="1:11">
      <c r="A664" t="s">
        <v>896</v>
      </c>
      <c r="B664" s="14" t="s">
        <v>951</v>
      </c>
      <c r="C664" t="s">
        <v>5</v>
      </c>
      <c r="D664" t="s">
        <v>223</v>
      </c>
      <c r="E664" t="s">
        <v>545</v>
      </c>
      <c r="F664" t="s">
        <v>10</v>
      </c>
      <c r="G664" t="s">
        <v>305</v>
      </c>
      <c r="H664" t="s">
        <v>305</v>
      </c>
      <c r="I664" t="str">
        <f t="shared" si="10"/>
        <v>Son Motos S.A.S.GOR</v>
      </c>
      <c r="J664" t="str">
        <f>VLOOKUP(I664,[1]Base!$I:$J,2,0)</f>
        <v>Lina del Mar Florez</v>
      </c>
    </row>
    <row r="665" spans="1:11">
      <c r="A665" t="s">
        <v>898</v>
      </c>
      <c r="B665" s="14">
        <v>1003019369</v>
      </c>
      <c r="C665" t="s">
        <v>5</v>
      </c>
      <c r="D665" t="s">
        <v>160</v>
      </c>
      <c r="E665" t="s">
        <v>664</v>
      </c>
      <c r="F665" t="s">
        <v>10</v>
      </c>
      <c r="G665" t="s">
        <v>305</v>
      </c>
      <c r="H665" t="s">
        <v>305</v>
      </c>
      <c r="I665" t="str">
        <f t="shared" si="10"/>
        <v>SU MOTO DEL MAGDALENA S.A.SGOR</v>
      </c>
      <c r="J665" t="str">
        <f>VLOOKUP(I665,[1]Base!$I:$J,2,0)</f>
        <v>Lina del Mar Florez</v>
      </c>
    </row>
    <row r="666" spans="1:11">
      <c r="A666" t="s">
        <v>909</v>
      </c>
      <c r="B666" s="14" t="s">
        <v>952</v>
      </c>
      <c r="C666" t="s">
        <v>5</v>
      </c>
      <c r="D666" t="s">
        <v>107</v>
      </c>
      <c r="E666" t="s">
        <v>489</v>
      </c>
      <c r="F666" t="s">
        <v>10</v>
      </c>
      <c r="G666" t="s">
        <v>305</v>
      </c>
      <c r="H666" t="s">
        <v>305</v>
      </c>
      <c r="I666" t="str">
        <f t="shared" si="10"/>
        <v>VICTOR MOTOS SASGOR</v>
      </c>
      <c r="J666" t="str">
        <f>VLOOKUP(I666,[1]Base!$I:$J,2,0)</f>
        <v>Lina del Mar Florez</v>
      </c>
    </row>
    <row r="667" spans="1:11">
      <c r="B667" s="14" t="e">
        <v>#N/A</v>
      </c>
      <c r="C667" t="s">
        <v>254</v>
      </c>
      <c r="D667" t="s">
        <v>259</v>
      </c>
      <c r="E667" t="s">
        <v>541</v>
      </c>
      <c r="F667" t="s">
        <v>10</v>
      </c>
      <c r="G667" t="s">
        <v>254</v>
      </c>
      <c r="H667" t="s">
        <v>254</v>
      </c>
      <c r="I667" t="str">
        <f t="shared" si="10"/>
        <v>RHEEM COLOMBIA S.A.S.GOR</v>
      </c>
      <c r="J667" t="str">
        <f>VLOOKUP(I667,[1]Base!$I:$J,2,0)</f>
        <v>Seller</v>
      </c>
    </row>
    <row r="668" spans="1:11">
      <c r="A668" t="s">
        <v>924</v>
      </c>
      <c r="B668" s="14">
        <v>1000007522</v>
      </c>
      <c r="C668" t="s">
        <v>8</v>
      </c>
      <c r="D668" t="s">
        <v>63</v>
      </c>
      <c r="E668" t="s">
        <v>681</v>
      </c>
      <c r="F668" t="s">
        <v>10</v>
      </c>
      <c r="G668" t="s">
        <v>20</v>
      </c>
      <c r="H668" t="s">
        <v>305</v>
      </c>
      <c r="I668" t="str">
        <f t="shared" si="10"/>
        <v>GRUPO MANSION S.A.S.GOR</v>
      </c>
      <c r="J668" t="str">
        <f>VLOOKUP(I668,[1]Base!$I:$J,2,0)</f>
        <v>Lina del Mar Florez</v>
      </c>
    </row>
    <row r="669" spans="1:11">
      <c r="A669" s="13" t="s">
        <v>370</v>
      </c>
      <c r="B669" s="14">
        <v>1002963214</v>
      </c>
      <c r="C669" t="s">
        <v>5</v>
      </c>
      <c r="D669" t="s">
        <v>343</v>
      </c>
      <c r="E669" t="s">
        <v>371</v>
      </c>
      <c r="F669" t="s">
        <v>17</v>
      </c>
      <c r="G669" t="s">
        <v>15</v>
      </c>
      <c r="H669" t="s">
        <v>290</v>
      </c>
      <c r="I669" t="str">
        <f t="shared" si="10"/>
        <v>MAS MOTOS MAS REPUESTOSGNC</v>
      </c>
      <c r="J669" t="str">
        <f>VLOOKUP(I669,[1]Base!$I:$J,2,0)</f>
        <v>Lina del Mar Florez</v>
      </c>
      <c r="K669" t="s">
        <v>696</v>
      </c>
    </row>
    <row r="670" spans="1:11">
      <c r="A670" t="s">
        <v>938</v>
      </c>
      <c r="B670" s="14">
        <v>1003251190</v>
      </c>
      <c r="C670" t="s">
        <v>8</v>
      </c>
      <c r="D670" t="s">
        <v>345</v>
      </c>
      <c r="E670" t="s">
        <v>685</v>
      </c>
      <c r="F670" t="s">
        <v>17</v>
      </c>
      <c r="G670" t="s">
        <v>290</v>
      </c>
      <c r="H670" t="s">
        <v>290</v>
      </c>
      <c r="I670" t="str">
        <f t="shared" si="10"/>
        <v>FERRE-TODO S.A.SGNC</v>
      </c>
      <c r="J670" t="str">
        <f>VLOOKUP(I670,[1]Base!$I:$J,2,0)</f>
        <v>Lina del Mar Florez</v>
      </c>
    </row>
    <row r="671" spans="1:11">
      <c r="A671" t="s">
        <v>922</v>
      </c>
      <c r="B671" s="14">
        <v>1003019596</v>
      </c>
      <c r="C671" t="s">
        <v>5</v>
      </c>
      <c r="D671" t="s">
        <v>157</v>
      </c>
      <c r="E671" t="s">
        <v>680</v>
      </c>
      <c r="F671" t="s">
        <v>6</v>
      </c>
      <c r="G671" t="s">
        <v>290</v>
      </c>
      <c r="H671" t="s">
        <v>305</v>
      </c>
      <c r="I671" t="str">
        <f t="shared" si="10"/>
        <v>COMERCIAL MEYER CESAR S.A.S ZOMACVANTI</v>
      </c>
      <c r="J671" t="str">
        <f>VLOOKUP(I671,[1]Base!$I:$J,2,0)</f>
        <v>Lina del Mar Florez</v>
      </c>
    </row>
    <row r="672" spans="1:11">
      <c r="A672" t="s">
        <v>762</v>
      </c>
      <c r="B672" s="14">
        <v>1003178175</v>
      </c>
      <c r="C672" t="s">
        <v>8</v>
      </c>
      <c r="D672" t="s">
        <v>325</v>
      </c>
      <c r="E672" t="s">
        <v>403</v>
      </c>
      <c r="F672" t="s">
        <v>6</v>
      </c>
      <c r="G672" t="s">
        <v>16</v>
      </c>
      <c r="H672" t="s">
        <v>16</v>
      </c>
      <c r="I672" t="str">
        <f t="shared" si="10"/>
        <v>COMUNICACIONES M &amp; P SASVANTI</v>
      </c>
      <c r="J672" t="str">
        <f>VLOOKUP(I672,[1]Base!$I:$J,2,0)</f>
        <v>Lina del Mar Florez</v>
      </c>
    </row>
    <row r="673" spans="1:11">
      <c r="A673" t="s">
        <v>787</v>
      </c>
      <c r="B673" s="14">
        <v>1003156874</v>
      </c>
      <c r="C673" t="s">
        <v>8</v>
      </c>
      <c r="D673" t="s">
        <v>315</v>
      </c>
      <c r="E673" t="s">
        <v>411</v>
      </c>
      <c r="F673" s="4" t="s">
        <v>17</v>
      </c>
      <c r="G673" t="s">
        <v>20</v>
      </c>
      <c r="H673" t="s">
        <v>20</v>
      </c>
      <c r="I673" t="str">
        <f t="shared" si="10"/>
        <v>ELECTROFERIA DE LA CARRERA 13 SASGNC</v>
      </c>
      <c r="J673" t="str">
        <f>VLOOKUP(I673,[1]Base!$I:$J,2,0)</f>
        <v>Juan Carlos Pinilla</v>
      </c>
    </row>
    <row r="674" spans="1:11">
      <c r="A674" t="s">
        <v>862</v>
      </c>
      <c r="B674" s="14" t="s">
        <v>949</v>
      </c>
      <c r="C674" t="s">
        <v>5</v>
      </c>
      <c r="D674" t="s">
        <v>85</v>
      </c>
      <c r="E674" t="s">
        <v>457</v>
      </c>
      <c r="F674" s="4" t="s">
        <v>17</v>
      </c>
      <c r="G674" t="s">
        <v>15</v>
      </c>
      <c r="H674" t="s">
        <v>15</v>
      </c>
      <c r="I674" t="str">
        <f t="shared" si="10"/>
        <v>MOTOS DEL SUR BOGOTA SASGNC</v>
      </c>
      <c r="J674" t="str">
        <f>VLOOKUP(I674,[1]Base!$I:$J,2,0)</f>
        <v>Juan Carlos Pinilla</v>
      </c>
    </row>
    <row r="675" spans="1:11">
      <c r="A675" t="s">
        <v>861</v>
      </c>
      <c r="B675" s="14">
        <v>1003035082</v>
      </c>
      <c r="C675" t="s">
        <v>5</v>
      </c>
      <c r="D675" t="s">
        <v>178</v>
      </c>
      <c r="E675" t="s">
        <v>641</v>
      </c>
      <c r="F675" t="s">
        <v>17</v>
      </c>
      <c r="G675" t="s">
        <v>22</v>
      </c>
      <c r="H675" t="s">
        <v>22</v>
      </c>
      <c r="I675" t="str">
        <f t="shared" si="10"/>
        <v>Motos del Camino S.A.S.GNC</v>
      </c>
      <c r="J675" t="str">
        <f>VLOOKUP(I675,[1]Base!$I:$J,2,0)</f>
        <v>Juan Carlos Pinilla</v>
      </c>
    </row>
    <row r="676" spans="1:11">
      <c r="A676" t="s">
        <v>823</v>
      </c>
      <c r="B676" s="14">
        <v>1003224198</v>
      </c>
      <c r="C676" s="1" t="s">
        <v>8</v>
      </c>
      <c r="D676" s="5" t="s">
        <v>334</v>
      </c>
      <c r="E676" s="5" t="s">
        <v>621</v>
      </c>
      <c r="F676" s="5" t="s">
        <v>6</v>
      </c>
      <c r="G676" s="1" t="s">
        <v>7</v>
      </c>
      <c r="H676" s="1" t="s">
        <v>305</v>
      </c>
      <c r="I676" s="1" t="str">
        <f t="shared" ref="I676:I680" si="11">D676&amp;F676</f>
        <v>INVERSIONES VARGAS &amp; GAFARO S.A.SVANTI</v>
      </c>
      <c r="J676" t="str">
        <f>VLOOKUP(I676,[1]Base!$I:$J,2,0)</f>
        <v>Lina del Mar Florez</v>
      </c>
    </row>
    <row r="677" spans="1:11">
      <c r="A677" t="s">
        <v>939</v>
      </c>
      <c r="B677" s="14">
        <v>1003075597</v>
      </c>
      <c r="C677" s="1" t="s">
        <v>8</v>
      </c>
      <c r="D677" s="5" t="s">
        <v>347</v>
      </c>
      <c r="E677" s="5" t="s">
        <v>686</v>
      </c>
      <c r="F677" s="5" t="s">
        <v>6</v>
      </c>
      <c r="G677" s="1" t="s">
        <v>7</v>
      </c>
      <c r="H677" s="1" t="s">
        <v>305</v>
      </c>
      <c r="I677" s="1" t="str">
        <f t="shared" si="11"/>
        <v>KORATTI S.A.S.VANTI</v>
      </c>
      <c r="J677" t="str">
        <f>VLOOKUP(I677,[1]Base!$I:$J,2,0)</f>
        <v>Lina del Mar Florez</v>
      </c>
    </row>
    <row r="678" spans="1:11">
      <c r="A678" t="s">
        <v>940</v>
      </c>
      <c r="B678" s="14">
        <v>1000028102</v>
      </c>
      <c r="C678" s="1" t="s">
        <v>8</v>
      </c>
      <c r="D678" s="5" t="s">
        <v>348</v>
      </c>
      <c r="E678" s="5" t="s">
        <v>520</v>
      </c>
      <c r="F678" s="5" t="s">
        <v>12</v>
      </c>
      <c r="G678" s="1" t="s">
        <v>7</v>
      </c>
      <c r="H678" s="1" t="s">
        <v>305</v>
      </c>
      <c r="I678" s="1" t="str">
        <f t="shared" si="11"/>
        <v>NOGO BOYACA LIMITADAGNCB</v>
      </c>
      <c r="J678" t="str">
        <f>VLOOKUP(I678,[1]Base!$I:$J,2,0)</f>
        <v>Lina del Mar Florez</v>
      </c>
    </row>
    <row r="679" spans="1:11">
      <c r="A679" t="s">
        <v>853</v>
      </c>
      <c r="B679" s="14">
        <v>1003090346</v>
      </c>
      <c r="C679" s="1" t="s">
        <v>8</v>
      </c>
      <c r="D679" s="4" t="s">
        <v>261</v>
      </c>
      <c r="E679" s="4" t="s">
        <v>635</v>
      </c>
      <c r="F679" s="4" t="s">
        <v>10</v>
      </c>
      <c r="G679" t="s">
        <v>305</v>
      </c>
      <c r="H679" t="s">
        <v>305</v>
      </c>
      <c r="I679" t="str">
        <f t="shared" si="11"/>
        <v>MOTORACING DE COLOMBIA S.A.S.GOR</v>
      </c>
      <c r="J679" t="str">
        <f>VLOOKUP(I679,[1]Base!$I:$J,2,0)</f>
        <v>Lina del Mar Florez</v>
      </c>
    </row>
    <row r="680" spans="1:11">
      <c r="A680" t="s">
        <v>941</v>
      </c>
      <c r="B680" s="14">
        <v>1000022821</v>
      </c>
      <c r="C680" t="s">
        <v>8</v>
      </c>
      <c r="D680" t="s">
        <v>349</v>
      </c>
      <c r="E680" t="s">
        <v>687</v>
      </c>
      <c r="F680" t="s">
        <v>10</v>
      </c>
      <c r="G680" t="s">
        <v>305</v>
      </c>
      <c r="H680" t="s">
        <v>305</v>
      </c>
      <c r="I680" t="str">
        <f t="shared" si="11"/>
        <v>DISTRIBUIDORA EL HUECO S.A.SGOR</v>
      </c>
      <c r="J680" t="str">
        <f>VLOOKUP(I680,[1]Base!$I:$J,2,0)</f>
        <v>Lina del Mar Florez</v>
      </c>
    </row>
    <row r="681" spans="1:11">
      <c r="A681" s="13" t="s">
        <v>709</v>
      </c>
      <c r="B681" s="14">
        <v>1002981525</v>
      </c>
      <c r="C681" t="s">
        <v>8</v>
      </c>
      <c r="D681" s="6" t="s">
        <v>226</v>
      </c>
      <c r="E681" s="6" t="s">
        <v>511</v>
      </c>
      <c r="F681" s="6" t="s">
        <v>17</v>
      </c>
      <c r="G681" t="s">
        <v>13</v>
      </c>
      <c r="H681" t="s">
        <v>290</v>
      </c>
      <c r="I681" t="str">
        <f t="shared" ref="I681:I685" si="12">D681&amp;F681</f>
        <v>Iván David Cadena Burgos GNC</v>
      </c>
      <c r="J681" t="str">
        <f>VLOOKUP(I681,[1]Base!$I:$J,2,0)</f>
        <v>Lina del Mar Florez</v>
      </c>
      <c r="K681" s="14" t="s">
        <v>710</v>
      </c>
    </row>
    <row r="682" spans="1:11">
      <c r="A682" t="s">
        <v>915</v>
      </c>
      <c r="B682" s="14">
        <v>1003027157</v>
      </c>
      <c r="C682" t="s">
        <v>5</v>
      </c>
      <c r="D682" t="s">
        <v>227</v>
      </c>
      <c r="E682" t="s">
        <v>492</v>
      </c>
      <c r="F682" t="s">
        <v>6</v>
      </c>
      <c r="G682" t="s">
        <v>22</v>
      </c>
      <c r="H682" t="s">
        <v>22</v>
      </c>
      <c r="I682" t="str">
        <f t="shared" si="12"/>
        <v>ALBEIRO CANO TOROVANTI</v>
      </c>
      <c r="J682" t="str">
        <f>VLOOKUP(I682,[1]Base!$I:$J,2,0)</f>
        <v>Juan Carlos Pinilla</v>
      </c>
    </row>
    <row r="683" spans="1:11">
      <c r="A683" t="s">
        <v>931</v>
      </c>
      <c r="B683" s="14">
        <v>1003246235</v>
      </c>
      <c r="C683" t="s">
        <v>5</v>
      </c>
      <c r="D683" t="s">
        <v>339</v>
      </c>
      <c r="E683" t="s">
        <v>684</v>
      </c>
      <c r="F683" s="7" t="s">
        <v>12</v>
      </c>
      <c r="G683" t="s">
        <v>15</v>
      </c>
      <c r="H683" t="s">
        <v>16</v>
      </c>
      <c r="I683" t="str">
        <f t="shared" si="12"/>
        <v>MOTOMOVIL DE COLOMBIA S.A.S.GNCB</v>
      </c>
      <c r="J683" t="str">
        <f>VLOOKUP(I683,[1]Base!$I:$J,2,0)</f>
        <v>Lina del Mar Florez</v>
      </c>
    </row>
    <row r="684" spans="1:11">
      <c r="A684" t="s">
        <v>860</v>
      </c>
      <c r="B684" s="14" t="s">
        <v>948</v>
      </c>
      <c r="C684" t="s">
        <v>5</v>
      </c>
      <c r="D684" t="s">
        <v>121</v>
      </c>
      <c r="E684" t="s">
        <v>456</v>
      </c>
      <c r="F684" t="s">
        <v>10</v>
      </c>
      <c r="G684" t="s">
        <v>305</v>
      </c>
      <c r="H684" t="s">
        <v>305</v>
      </c>
      <c r="I684" t="str">
        <f t="shared" si="12"/>
        <v>MOTOS DE LA BOYACA SASGOR</v>
      </c>
      <c r="J684" t="str">
        <f>VLOOKUP(I684,[1]Base!$I:$J,2,0)</f>
        <v>Lina del Mar Florez</v>
      </c>
    </row>
    <row r="685" spans="1:11">
      <c r="A685" t="s">
        <v>893</v>
      </c>
      <c r="B685" s="14">
        <v>1000008288</v>
      </c>
      <c r="C685" t="s">
        <v>8</v>
      </c>
      <c r="D685" t="s">
        <v>332</v>
      </c>
      <c r="E685" t="s">
        <v>662</v>
      </c>
      <c r="F685" s="7" t="s">
        <v>12</v>
      </c>
      <c r="G685" t="s">
        <v>16</v>
      </c>
      <c r="H685" t="s">
        <v>16</v>
      </c>
      <c r="I685" t="str">
        <f t="shared" si="12"/>
        <v>SOCODA S.A.S.GNCB</v>
      </c>
      <c r="J685" t="str">
        <f>VLOOKUP(I685,[1]Base!$I:$J,2,0)</f>
        <v>Lina del Mar Florez</v>
      </c>
    </row>
  </sheetData>
  <autoFilter ref="A2:K685" xr:uid="{E0CBF876-3211-475F-AF39-6E77C20D12B5}"/>
  <sortState xmlns:xlrd2="http://schemas.microsoft.com/office/spreadsheetml/2017/richdata2" ref="C2:H668">
    <sortCondition descending="1" sortBy="cellColor" ref="F2:F668" dxfId="3"/>
  </sortState>
  <conditionalFormatting sqref="B1:B1048576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5535-DDA0-4B97-85E9-7C5C23156CF9}">
  <dimension ref="A1:A81"/>
  <sheetViews>
    <sheetView workbookViewId="0"/>
  </sheetViews>
  <sheetFormatPr baseColWidth="10" defaultRowHeight="14.4"/>
  <sheetData>
    <row r="1" spans="1:1">
      <c r="A1" t="s">
        <v>371</v>
      </c>
    </row>
    <row r="2" spans="1:1">
      <c r="A2" t="s">
        <v>373</v>
      </c>
    </row>
    <row r="3" spans="1:1">
      <c r="A3" t="s">
        <v>521</v>
      </c>
    </row>
    <row r="4" spans="1:1">
      <c r="A4" t="s">
        <v>375</v>
      </c>
    </row>
    <row r="5" spans="1:1">
      <c r="A5" t="s">
        <v>377</v>
      </c>
    </row>
    <row r="6" spans="1:1">
      <c r="A6" t="s">
        <v>379</v>
      </c>
    </row>
    <row r="7" spans="1:1">
      <c r="A7" t="s">
        <v>383</v>
      </c>
    </row>
    <row r="8" spans="1:1">
      <c r="A8" t="s">
        <v>384</v>
      </c>
    </row>
    <row r="9" spans="1:1">
      <c r="A9" t="s">
        <v>385</v>
      </c>
    </row>
    <row r="10" spans="1:1">
      <c r="A10" t="s">
        <v>386</v>
      </c>
    </row>
    <row r="11" spans="1:1">
      <c r="A11" t="s">
        <v>387</v>
      </c>
    </row>
    <row r="12" spans="1:1">
      <c r="A12" t="s">
        <v>388</v>
      </c>
    </row>
    <row r="13" spans="1:1">
      <c r="A13" t="s">
        <v>390</v>
      </c>
    </row>
    <row r="14" spans="1:1">
      <c r="A14" t="s">
        <v>392</v>
      </c>
    </row>
    <row r="15" spans="1:1">
      <c r="A15" t="s">
        <v>524</v>
      </c>
    </row>
    <row r="16" spans="1:1">
      <c r="A16" t="s">
        <v>396</v>
      </c>
    </row>
    <row r="17" spans="1:1">
      <c r="A17" t="s">
        <v>397</v>
      </c>
    </row>
    <row r="18" spans="1:1">
      <c r="A18" t="s">
        <v>526</v>
      </c>
    </row>
    <row r="19" spans="1:1">
      <c r="A19" t="s">
        <v>405</v>
      </c>
    </row>
    <row r="20" spans="1:1">
      <c r="A20" t="s">
        <v>529</v>
      </c>
    </row>
    <row r="21" spans="1:1">
      <c r="A21" t="s">
        <v>410</v>
      </c>
    </row>
    <row r="22" spans="1:1">
      <c r="A22" t="s">
        <v>412</v>
      </c>
    </row>
    <row r="23" spans="1:1">
      <c r="A23" t="s">
        <v>413</v>
      </c>
    </row>
    <row r="24" spans="1:1">
      <c r="A24" t="s">
        <v>530</v>
      </c>
    </row>
    <row r="25" spans="1:1">
      <c r="A25" t="s">
        <v>532</v>
      </c>
    </row>
    <row r="26" spans="1:1">
      <c r="A26" t="s">
        <v>416</v>
      </c>
    </row>
    <row r="27" spans="1:1">
      <c r="A27" t="s">
        <v>417</v>
      </c>
    </row>
    <row r="28" spans="1:1">
      <c r="A28" t="s">
        <v>418</v>
      </c>
    </row>
    <row r="29" spans="1:1">
      <c r="A29" t="s">
        <v>420</v>
      </c>
    </row>
    <row r="30" spans="1:1">
      <c r="A30" t="s">
        <v>422</v>
      </c>
    </row>
    <row r="31" spans="1:1">
      <c r="A31" t="s">
        <v>424</v>
      </c>
    </row>
    <row r="32" spans="1:1">
      <c r="A32" t="s">
        <v>534</v>
      </c>
    </row>
    <row r="33" spans="1:1">
      <c r="A33" t="s">
        <v>427</v>
      </c>
    </row>
    <row r="34" spans="1:1">
      <c r="A34" t="s">
        <v>428</v>
      </c>
    </row>
    <row r="35" spans="1:1">
      <c r="A35" t="s">
        <v>429</v>
      </c>
    </row>
    <row r="36" spans="1:1">
      <c r="A36" t="s">
        <v>430</v>
      </c>
    </row>
    <row r="37" spans="1:1">
      <c r="A37" t="s">
        <v>431</v>
      </c>
    </row>
    <row r="38" spans="1:1">
      <c r="A38" t="s">
        <v>439</v>
      </c>
    </row>
    <row r="39" spans="1:1">
      <c r="A39" t="s">
        <v>441</v>
      </c>
    </row>
    <row r="40" spans="1:1">
      <c r="A40" t="s">
        <v>454</v>
      </c>
    </row>
    <row r="41" spans="1:1">
      <c r="A41" t="s">
        <v>455</v>
      </c>
    </row>
    <row r="42" spans="1:1">
      <c r="A42" t="s">
        <v>537</v>
      </c>
    </row>
    <row r="43" spans="1:1">
      <c r="A43" t="s">
        <v>463</v>
      </c>
    </row>
    <row r="44" spans="1:1">
      <c r="A44" t="s">
        <v>539</v>
      </c>
    </row>
    <row r="45" spans="1:1">
      <c r="A45" t="s">
        <v>540</v>
      </c>
    </row>
    <row r="46" spans="1:1">
      <c r="A46" t="s">
        <v>465</v>
      </c>
    </row>
    <row r="47" spans="1:1">
      <c r="A47" t="s">
        <v>541</v>
      </c>
    </row>
    <row r="48" spans="1:1">
      <c r="A48" t="s">
        <v>467</v>
      </c>
    </row>
    <row r="49" spans="1:1">
      <c r="A49" t="s">
        <v>250</v>
      </c>
    </row>
    <row r="50" spans="1:1">
      <c r="A50" t="s">
        <v>469</v>
      </c>
    </row>
    <row r="51" spans="1:1">
      <c r="A51" t="s">
        <v>542</v>
      </c>
    </row>
    <row r="52" spans="1:1">
      <c r="A52" t="s">
        <v>470</v>
      </c>
    </row>
    <row r="53" spans="1:1">
      <c r="A53" t="s">
        <v>471</v>
      </c>
    </row>
    <row r="54" spans="1:1">
      <c r="A54" t="s">
        <v>472</v>
      </c>
    </row>
    <row r="55" spans="1:1">
      <c r="A55" t="s">
        <v>473</v>
      </c>
    </row>
    <row r="56" spans="1:1">
      <c r="A56" t="s">
        <v>474</v>
      </c>
    </row>
    <row r="57" spans="1:1">
      <c r="A57" t="s">
        <v>543</v>
      </c>
    </row>
    <row r="58" spans="1:1">
      <c r="A58" t="s">
        <v>476</v>
      </c>
    </row>
    <row r="59" spans="1:1">
      <c r="A59" t="s">
        <v>544</v>
      </c>
    </row>
    <row r="60" spans="1:1">
      <c r="A60" t="s">
        <v>479</v>
      </c>
    </row>
    <row r="61" spans="1:1">
      <c r="A61" t="s">
        <v>480</v>
      </c>
    </row>
    <row r="62" spans="1:1">
      <c r="A62" t="s">
        <v>481</v>
      </c>
    </row>
    <row r="63" spans="1:1">
      <c r="A63" t="s">
        <v>484</v>
      </c>
    </row>
    <row r="64" spans="1:1">
      <c r="A64" t="s">
        <v>485</v>
      </c>
    </row>
    <row r="65" spans="1:1">
      <c r="A65" t="s">
        <v>487</v>
      </c>
    </row>
    <row r="66" spans="1:1">
      <c r="A66" t="s">
        <v>488</v>
      </c>
    </row>
    <row r="67" spans="1:1">
      <c r="A67" t="s">
        <v>490</v>
      </c>
    </row>
    <row r="68" spans="1:1">
      <c r="A68" t="s">
        <v>497</v>
      </c>
    </row>
    <row r="69" spans="1:1">
      <c r="A69" t="s">
        <v>499</v>
      </c>
    </row>
    <row r="70" spans="1:1">
      <c r="A70" t="s">
        <v>504</v>
      </c>
    </row>
    <row r="71" spans="1:1">
      <c r="A71" t="s">
        <v>505</v>
      </c>
    </row>
    <row r="72" spans="1:1">
      <c r="A72" t="s">
        <v>548</v>
      </c>
    </row>
    <row r="73" spans="1:1">
      <c r="A73" t="s">
        <v>506</v>
      </c>
    </row>
    <row r="74" spans="1:1">
      <c r="A74" t="s">
        <v>508</v>
      </c>
    </row>
    <row r="75" spans="1:1">
      <c r="A75" t="s">
        <v>509</v>
      </c>
    </row>
    <row r="76" spans="1:1">
      <c r="A76" t="s">
        <v>510</v>
      </c>
    </row>
    <row r="77" spans="1:1">
      <c r="A77" t="s">
        <v>511</v>
      </c>
    </row>
    <row r="78" spans="1:1">
      <c r="A78" t="s">
        <v>512</v>
      </c>
    </row>
    <row r="79" spans="1:1">
      <c r="A79" t="s">
        <v>514</v>
      </c>
    </row>
    <row r="80" spans="1:1">
      <c r="A80" t="s">
        <v>516</v>
      </c>
    </row>
    <row r="81" spans="1:1">
      <c r="A81" t="s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6D6D-2E29-4945-8DE0-8946F7B3CF97}">
  <dimension ref="A1:B21"/>
  <sheetViews>
    <sheetView workbookViewId="0">
      <selection activeCell="D20" sqref="D20"/>
    </sheetView>
  </sheetViews>
  <sheetFormatPr baseColWidth="10" defaultRowHeight="14.4"/>
  <cols>
    <col min="1" max="1" width="46.44140625" style="11" bestFit="1" customWidth="1"/>
  </cols>
  <sheetData>
    <row r="1" spans="1:2">
      <c r="A1" s="8" t="s">
        <v>350</v>
      </c>
      <c r="B1" s="8" t="s">
        <v>351</v>
      </c>
    </row>
    <row r="2" spans="1:2">
      <c r="A2" s="9" t="s">
        <v>352</v>
      </c>
      <c r="B2" s="9" t="s">
        <v>17</v>
      </c>
    </row>
    <row r="3" spans="1:2">
      <c r="A3" s="9" t="s">
        <v>353</v>
      </c>
      <c r="B3" s="9" t="s">
        <v>12</v>
      </c>
    </row>
    <row r="4" spans="1:2">
      <c r="A4" s="9" t="s">
        <v>354</v>
      </c>
      <c r="B4" s="9" t="s">
        <v>10</v>
      </c>
    </row>
    <row r="5" spans="1:2">
      <c r="A5" s="9" t="s">
        <v>355</v>
      </c>
      <c r="B5" s="9" t="s">
        <v>6</v>
      </c>
    </row>
    <row r="6" spans="1:2">
      <c r="A6" s="9" t="s">
        <v>356</v>
      </c>
      <c r="B6" s="9" t="s">
        <v>6</v>
      </c>
    </row>
    <row r="7" spans="1:2">
      <c r="A7" s="9" t="s">
        <v>357</v>
      </c>
      <c r="B7" s="9" t="s">
        <v>12</v>
      </c>
    </row>
    <row r="8" spans="1:2">
      <c r="A8" s="9" t="s">
        <v>358</v>
      </c>
      <c r="B8" s="9" t="s">
        <v>10</v>
      </c>
    </row>
    <row r="9" spans="1:2">
      <c r="A9" s="9" t="s">
        <v>359</v>
      </c>
      <c r="B9" s="9" t="s">
        <v>17</v>
      </c>
    </row>
    <row r="10" spans="1:2">
      <c r="A10" s="10" t="s">
        <v>355</v>
      </c>
      <c r="B10" s="9" t="s">
        <v>6</v>
      </c>
    </row>
    <row r="11" spans="1:2">
      <c r="A11" s="10" t="s">
        <v>353</v>
      </c>
      <c r="B11" s="9" t="s">
        <v>12</v>
      </c>
    </row>
    <row r="12" spans="1:2">
      <c r="A12" s="10" t="s">
        <v>354</v>
      </c>
      <c r="B12" s="9" t="s">
        <v>10</v>
      </c>
    </row>
    <row r="13" spans="1:2">
      <c r="A13" s="10" t="s">
        <v>352</v>
      </c>
      <c r="B13" s="9" t="s">
        <v>17</v>
      </c>
    </row>
    <row r="14" spans="1:2">
      <c r="A14" s="10" t="s">
        <v>360</v>
      </c>
      <c r="B14" s="9" t="s">
        <v>6</v>
      </c>
    </row>
    <row r="15" spans="1:2">
      <c r="A15" s="10" t="s">
        <v>361</v>
      </c>
      <c r="B15" s="9" t="s">
        <v>12</v>
      </c>
    </row>
    <row r="16" spans="1:2">
      <c r="A16" s="10" t="s">
        <v>362</v>
      </c>
      <c r="B16" s="9" t="s">
        <v>10</v>
      </c>
    </row>
    <row r="17" spans="1:2">
      <c r="A17" s="10" t="s">
        <v>363</v>
      </c>
      <c r="B17" s="9" t="s">
        <v>6</v>
      </c>
    </row>
    <row r="18" spans="1:2">
      <c r="A18" s="10" t="s">
        <v>364</v>
      </c>
      <c r="B18" s="9" t="s">
        <v>12</v>
      </c>
    </row>
    <row r="19" spans="1:2">
      <c r="A19" s="10" t="s">
        <v>365</v>
      </c>
      <c r="B19" s="9" t="s">
        <v>10</v>
      </c>
    </row>
    <row r="20" spans="1:2">
      <c r="A20" s="10" t="s">
        <v>366</v>
      </c>
      <c r="B20" s="9" t="s">
        <v>17</v>
      </c>
    </row>
    <row r="21" spans="1:2">
      <c r="A21" s="10" t="s">
        <v>367</v>
      </c>
      <c r="B21" s="9" t="s">
        <v>17</v>
      </c>
    </row>
  </sheetData>
  <conditionalFormatting sqref="A1">
    <cfRule type="duplicateValues" dxfId="1" priority="2"/>
  </conditionalFormatting>
  <conditionalFormatting sqref="A2:A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ce3529-5699-4b6a-820c-c774cb2da13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47ED3022984409A3FF316E0077EFC" ma:contentTypeVersion="11" ma:contentTypeDescription="Create a new document." ma:contentTypeScope="" ma:versionID="067d1cf04bdd6d02bbfd98db7b784890">
  <xsd:schema xmlns:xsd="http://www.w3.org/2001/XMLSchema" xmlns:xs="http://www.w3.org/2001/XMLSchema" xmlns:p="http://schemas.microsoft.com/office/2006/metadata/properties" xmlns:ns3="54ce3529-5699-4b6a-820c-c774cb2da136" targetNamespace="http://schemas.microsoft.com/office/2006/metadata/properties" ma:root="true" ma:fieldsID="8c1225d844abb6b4e54eee35609551b7" ns3:_="">
    <xsd:import namespace="54ce3529-5699-4b6a-820c-c774cb2da1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3529-5699-4b6a-820c-c774cb2da1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F5D9FD-0554-43E5-A7E5-275465B130EB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54ce3529-5699-4b6a-820c-c774cb2da13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3112118-18CB-45EF-BEA5-EA4A1A8CA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D34DDB-6580-4F01-AACD-716B21B11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e3529-5699-4b6a-820c-c774cb2da1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</vt:lpstr>
      <vt:lpstr>Hoja1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Tenorio Moreno Diana Maryory</dc:creator>
  <cp:lastModifiedBy>Bryan Galeano</cp:lastModifiedBy>
  <dcterms:created xsi:type="dcterms:W3CDTF">2023-10-25T19:35:50Z</dcterms:created>
  <dcterms:modified xsi:type="dcterms:W3CDTF">2026-04-30T02:01:14Z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0x01010051C47ED3022984409A3FF316E0077EFC</vt:lpwstr>
  </property>
</Properties>
</file>